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comments4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6.xml" ContentType="application/vnd.openxmlformats-officedocument.drawing+xml"/>
  <Override PartName="/xl/comments5.xml" ContentType="application/vnd.openxmlformats-officedocument.spreadsheetml.comments+xml"/>
  <Override PartName="/xl/drawings/drawing7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images/Redo.png" ContentType="image/.png"/>
  <Override PartName="/customUI/images/Undo.png" ContentType="image/.png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9d1266b2a25643f4" Type="http://schemas.microsoft.com/office/2007/relationships/ui/extensibility" Target="customUI/customUI14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325" codeName="{2109D909-C6D8-E34B-4C66-09127ED2DC46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Mikael\SKOGBRUKETS KURSINSTITUTT\611071 Kostnadskalkulasjon skogsdrift - Dokumenter\Kalkulatorer GJELDENDE\"/>
    </mc:Choice>
  </mc:AlternateContent>
  <xr:revisionPtr revIDLastSave="733" documentId="6_{85AA9843-58C7-4BCB-AB07-EBF0D6A1A7F1}" xr6:coauthVersionLast="45" xr6:coauthVersionMax="45" xr10:uidLastSave="{1C3C97D4-E639-4C59-811F-060EC7EA2D0F}"/>
  <workbookProtection workbookAlgorithmName="SHA-512" workbookHashValue="83Fjttc94F1N0O/7UMTpcXa6II38r0B0lLyVf0e5zh/JWxtHTedpIa1UXGfFHRQneblB6Sx6BhfCtoxs7pXe0g==" workbookSaltValue="MEgi06S76eoRo2XnJG3S6g==" workbookSpinCount="100000" lockStructure="1"/>
  <bookViews>
    <workbookView showSheetTabs="0" xWindow="-108" yWindow="-108" windowWidth="30936" windowHeight="16896" xr2:uid="{8FA6F02B-FD29-4A75-825D-5BB101209BFF}"/>
  </bookViews>
  <sheets>
    <sheet name="FORSIDE" sheetId="8" r:id="rId1"/>
    <sheet name="NORSKE TILPASNINGER" sheetId="10" r:id="rId2"/>
    <sheet name="DASHBORD" sheetId="6" r:id="rId3"/>
    <sheet name="PROD.NORMER TABELL" sheetId="4" state="veryHidden" r:id="rId4"/>
    <sheet name="HOGSTMASKIN (G0)" sheetId="1" state="veryHidden" r:id="rId5"/>
    <sheet name="LASSBÆRER (G15)" sheetId="2" state="veryHidden" r:id="rId6"/>
    <sheet name="HJELPETABELLER" sheetId="3" state="veryHidden" r:id="rId7"/>
    <sheet name="HJELPETABELL" sheetId="5" r:id="rId8"/>
    <sheet name="MenyMalOppsett" sheetId="7" state="veryHidden" r:id="rId9"/>
    <sheet name="Ferdigdato" sheetId="9" state="veryHidden" r:id="rId10"/>
  </sheets>
  <functionGroups builtInGroupCount="19"/>
  <externalReferences>
    <externalReference r:id="rId11"/>
  </externalReferences>
  <definedNames>
    <definedName name="_xlnm._FilterDatabase" localSheetId="7" hidden="1">MenyMalOppsett!$B$26:$H$26</definedName>
    <definedName name="AntArbDager">Ferdigdato!$C$4</definedName>
    <definedName name="cAar">Ferdigdato!$L$13</definedName>
    <definedName name="cAar2">Ferdigdato!$L$35</definedName>
    <definedName name="cAar3">Ferdigdato!$L$57</definedName>
    <definedName name="caHellig">Ferdigdato!$M$12:$N$78</definedName>
    <definedName name="caMeny" localSheetId="8">MenyMalOppsett!$J$26:$Q$38</definedName>
    <definedName name="caObjPos" localSheetId="8">MenyMalOppsett!$B$26:$H$159</definedName>
    <definedName name="cDagerHogg" localSheetId="2">DASHBORD!$D$11</definedName>
    <definedName name="cDagerLass" localSheetId="2">DASHBORD!$Q$11</definedName>
    <definedName name="cGyldigDato" localSheetId="8">MenyMalOppsett!$K$5</definedName>
    <definedName name="cGyldigMelding" localSheetId="8">MenyMalOppsett!$K$6</definedName>
    <definedName name="cKolBreddeA" localSheetId="8">MenyMalOppsett!$D$15</definedName>
    <definedName name="cPosHm10Left" localSheetId="8">MenyMalOppsett!$M$15</definedName>
    <definedName name="cPosHm10Top" localSheetId="8">MenyMalOppsett!$M$14</definedName>
    <definedName name="cPosHmLeft" localSheetId="8">MenyMalOppsett!$N$15</definedName>
    <definedName name="cPosHmTop" localSheetId="8">MenyMalOppsett!$N$14</definedName>
    <definedName name="cPosLb10Left" localSheetId="8">MenyMalOppsett!$M$18</definedName>
    <definedName name="cPosLb10Top" localSheetId="8">MenyMalOppsett!$M$17</definedName>
    <definedName name="cPosLbLeft" localSheetId="8">MenyMalOppsett!$N$18</definedName>
    <definedName name="cPosLbTop" localSheetId="8">MenyMalOppsett!$N$17</definedName>
    <definedName name="cRadHøyde" localSheetId="8">MenyMalOppsett!$D$16</definedName>
    <definedName name="cRedModus" localSheetId="7">MenyMalOppsett!$D$18</definedName>
    <definedName name="cRedModus" localSheetId="8">MenyMalOppsett!$D$18</definedName>
    <definedName name="cSluttHogg" localSheetId="2">DASHBORD!$C$11</definedName>
    <definedName name="cSluttLass" localSheetId="2">DASHBORD!$P$11</definedName>
    <definedName name="cSplit" localSheetId="8">MenyMalOppsett!$D$17</definedName>
    <definedName name="cStartHogg" localSheetId="2">DASHBORD!$C$8</definedName>
    <definedName name="cStartLass" localSheetId="2">DASHBORD!$P$8</definedName>
    <definedName name="DatoTab">Ferdigdato!$B$13:$J$55</definedName>
    <definedName name="FerdigDato">Ferdigdato!$C$5</definedName>
    <definedName name="Fra">Ferdigdato!$C$3</definedName>
    <definedName name="SisteVekt">INDEX([1]Dataregistrering!$C:$C,MATCH(9.999E+307,[1]Dataregistrering!$C:$C),1)</definedName>
    <definedName name="StartDato">DASHBORD!$C$8</definedName>
    <definedName name="Til">Ferdigdato!$C$5</definedName>
    <definedName name="_xlnm.Print_Area" localSheetId="2">DASHBORD!$A$1:$AB$25</definedName>
    <definedName name="_xlnm.Print_Area" localSheetId="0">FORSIDE!$A$1:$R$49</definedName>
    <definedName name="_xlnm.Print_Area" localSheetId="6">HJELPETABELLER!$A$5:$K$24</definedName>
    <definedName name="_xlnm.Print_Area" localSheetId="4">'HOGSTMASKIN (G0)'!$B$4:$AG$31</definedName>
    <definedName name="_xlnm.Print_Area" localSheetId="5">'LASSBÆRER (G15)'!$B$4:$U$38</definedName>
    <definedName name="_xlnm.Print_Area" localSheetId="3">'PROD.NORMER TABELL'!$A$4:$J$41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3" i="9" l="1"/>
  <c r="Q14" i="9" s="1"/>
  <c r="Q15" i="9" s="1"/>
  <c r="Q16" i="9" s="1"/>
  <c r="Q17" i="9" s="1"/>
  <c r="Q18" i="9" s="1"/>
  <c r="Q19" i="9" s="1"/>
  <c r="Q20" i="9" s="1"/>
  <c r="Q21" i="9" s="1"/>
  <c r="Q22" i="9" s="1"/>
  <c r="Q23" i="9" s="1"/>
  <c r="Q24" i="9" s="1"/>
  <c r="Q25" i="9" s="1"/>
  <c r="Q26" i="9" s="1"/>
  <c r="Q27" i="9" s="1"/>
  <c r="Q28" i="9" s="1"/>
  <c r="Q29" i="9" s="1"/>
  <c r="Q30" i="9" s="1"/>
  <c r="Q31" i="9" s="1"/>
  <c r="Q32" i="9" s="1"/>
  <c r="Q33" i="9" s="1"/>
  <c r="Q34" i="9" s="1"/>
  <c r="Q35" i="9" s="1"/>
  <c r="Q36" i="9" s="1"/>
  <c r="Q37" i="9" s="1"/>
  <c r="Q38" i="9" s="1"/>
  <c r="Q39" i="9" s="1"/>
  <c r="Q40" i="9" s="1"/>
  <c r="Q41" i="9" s="1"/>
  <c r="Q42" i="9" s="1"/>
  <c r="Q43" i="9" s="1"/>
  <c r="Q44" i="9" s="1"/>
  <c r="Q45" i="9" s="1"/>
  <c r="Q46" i="9" s="1"/>
  <c r="Q47" i="9" s="1"/>
  <c r="Q48" i="9" s="1"/>
  <c r="Q49" i="9" s="1"/>
  <c r="Q50" i="9" s="1"/>
  <c r="Q51" i="9" s="1"/>
  <c r="Q52" i="9" s="1"/>
  <c r="Q53" i="9" s="1"/>
  <c r="Q54" i="9" s="1"/>
  <c r="Q55" i="9" s="1"/>
  <c r="Q56" i="9" s="1"/>
  <c r="Q57" i="9" s="1"/>
  <c r="Q58" i="9" s="1"/>
  <c r="Q59" i="9" s="1"/>
  <c r="Q60" i="9" s="1"/>
  <c r="Q61" i="9" s="1"/>
  <c r="Q62" i="9" s="1"/>
  <c r="Q63" i="9" s="1"/>
  <c r="Q64" i="9" s="1"/>
  <c r="Q65" i="9" s="1"/>
  <c r="Q66" i="9" s="1"/>
  <c r="Q67" i="9" s="1"/>
  <c r="Q68" i="9" s="1"/>
  <c r="Q69" i="9" s="1"/>
  <c r="Q70" i="9" s="1"/>
  <c r="Q71" i="9" s="1"/>
  <c r="Q72" i="9" s="1"/>
  <c r="Q73" i="9" s="1"/>
  <c r="Q74" i="9" s="1"/>
  <c r="Q75" i="9" s="1"/>
  <c r="Q76" i="9" s="1"/>
  <c r="Q77" i="9" s="1"/>
  <c r="Q78" i="9" s="1"/>
  <c r="Q79" i="9" s="1"/>
  <c r="Q80" i="9" s="1"/>
  <c r="Q81" i="9" s="1"/>
  <c r="Q82" i="9" s="1"/>
  <c r="Q83" i="9" s="1"/>
  <c r="Q84" i="9" s="1"/>
  <c r="Q85" i="9" s="1"/>
  <c r="Q86" i="9" s="1"/>
  <c r="Q87" i="9" s="1"/>
  <c r="Q88" i="9" s="1"/>
  <c r="Q89" i="9" s="1"/>
  <c r="Q90" i="9" s="1"/>
  <c r="Q91" i="9" s="1"/>
  <c r="Q92" i="9" s="1"/>
  <c r="Q93" i="9" s="1"/>
  <c r="Q94" i="9" s="1"/>
  <c r="Q95" i="9" s="1"/>
  <c r="Q96" i="9" s="1"/>
  <c r="Q97" i="9" s="1"/>
  <c r="Q98" i="9" s="1"/>
  <c r="Q99" i="9" s="1"/>
  <c r="Q100" i="9" s="1"/>
  <c r="Q101" i="9" s="1"/>
  <c r="Q102" i="9" s="1"/>
  <c r="Q103" i="9" s="1"/>
  <c r="Q104" i="9" s="1"/>
  <c r="Q105" i="9" s="1"/>
  <c r="Q106" i="9" s="1"/>
  <c r="Q107" i="9" s="1"/>
  <c r="Q108" i="9" s="1"/>
  <c r="Q109" i="9" s="1"/>
  <c r="Q110" i="9" s="1"/>
  <c r="Q111" i="9" s="1"/>
  <c r="Q112" i="9" s="1"/>
  <c r="Q113" i="9" s="1"/>
  <c r="Q114" i="9" s="1"/>
  <c r="Q115" i="9" s="1"/>
  <c r="Q116" i="9" s="1"/>
  <c r="Q117" i="9" s="1"/>
  <c r="Q118" i="9" s="1"/>
  <c r="Q119" i="9" s="1"/>
  <c r="Q120" i="9" s="1"/>
  <c r="Q121" i="9" s="1"/>
  <c r="Q122" i="9" s="1"/>
  <c r="Q123" i="9" s="1"/>
  <c r="Q124" i="9" s="1"/>
  <c r="Q125" i="9" s="1"/>
  <c r="Q126" i="9" s="1"/>
  <c r="Q127" i="9" s="1"/>
  <c r="Q128" i="9" s="1"/>
  <c r="Q129" i="9" s="1"/>
  <c r="Q130" i="9" s="1"/>
  <c r="Q131" i="9" s="1"/>
  <c r="Q132" i="9" s="1"/>
  <c r="Q133" i="9" s="1"/>
  <c r="Q134" i="9" s="1"/>
  <c r="Q135" i="9" s="1"/>
  <c r="Q136" i="9" s="1"/>
  <c r="Q137" i="9" s="1"/>
  <c r="Q138" i="9" s="1"/>
  <c r="Q139" i="9" s="1"/>
  <c r="Q140" i="9" s="1"/>
  <c r="Q141" i="9" s="1"/>
  <c r="Q142" i="9" s="1"/>
  <c r="Q143" i="9" s="1"/>
  <c r="Q144" i="9" s="1"/>
  <c r="Q145" i="9" s="1"/>
  <c r="Q146" i="9" s="1"/>
  <c r="Q147" i="9" s="1"/>
  <c r="Q148" i="9" s="1"/>
  <c r="Q149" i="9" s="1"/>
  <c r="Q150" i="9" s="1"/>
  <c r="Q151" i="9" s="1"/>
  <c r="Q152" i="9" s="1"/>
  <c r="Q153" i="9" s="1"/>
  <c r="Q154" i="9" s="1"/>
  <c r="Q155" i="9" s="1"/>
  <c r="Q156" i="9" s="1"/>
  <c r="Q157" i="9" s="1"/>
  <c r="Q158" i="9" s="1"/>
  <c r="Q159" i="9" s="1"/>
  <c r="Q160" i="9" s="1"/>
  <c r="Q161" i="9" s="1"/>
  <c r="Q162" i="9" s="1"/>
  <c r="Q163" i="9" s="1"/>
  <c r="Q164" i="9" s="1"/>
  <c r="Q165" i="9" s="1"/>
  <c r="Q166" i="9" s="1"/>
  <c r="Q167" i="9" s="1"/>
  <c r="Q168" i="9" s="1"/>
  <c r="Q169" i="9" s="1"/>
  <c r="Q170" i="9" s="1"/>
  <c r="Q171" i="9" s="1"/>
  <c r="Q172" i="9" s="1"/>
  <c r="Q173" i="9" s="1"/>
  <c r="Q174" i="9" s="1"/>
  <c r="Q175" i="9" s="1"/>
  <c r="Q176" i="9" s="1"/>
  <c r="Q177" i="9" s="1"/>
  <c r="Q178" i="9" s="1"/>
  <c r="Q179" i="9" s="1"/>
  <c r="Q180" i="9" s="1"/>
  <c r="Q181" i="9" s="1"/>
  <c r="Q182" i="9" s="1"/>
  <c r="Q183" i="9" s="1"/>
  <c r="Q184" i="9" s="1"/>
  <c r="Q185" i="9" s="1"/>
  <c r="Q186" i="9" s="1"/>
  <c r="Q187" i="9" s="1"/>
  <c r="Q188" i="9" s="1"/>
  <c r="Q189" i="9" s="1"/>
  <c r="Q190" i="9" s="1"/>
  <c r="Q191" i="9" s="1"/>
  <c r="Q192" i="9" s="1"/>
  <c r="Q193" i="9" s="1"/>
  <c r="Q194" i="9" s="1"/>
  <c r="Q195" i="9" s="1"/>
  <c r="Q196" i="9" s="1"/>
  <c r="Q197" i="9" s="1"/>
  <c r="Q198" i="9" s="1"/>
  <c r="Q199" i="9" s="1"/>
  <c r="Q200" i="9" s="1"/>
  <c r="Q201" i="9" s="1"/>
  <c r="Q202" i="9" s="1"/>
  <c r="Q203" i="9" s="1"/>
  <c r="Q204" i="9" s="1"/>
  <c r="Q205" i="9" s="1"/>
  <c r="Q206" i="9" s="1"/>
  <c r="Q207" i="9" s="1"/>
  <c r="Q208" i="9" s="1"/>
  <c r="Q209" i="9" s="1"/>
  <c r="Q210" i="9" s="1"/>
  <c r="Q211" i="9" s="1"/>
  <c r="Q212" i="9" s="1"/>
  <c r="Q213" i="9" s="1"/>
  <c r="Q214" i="9" s="1"/>
  <c r="Q215" i="9" s="1"/>
  <c r="Q216" i="9" s="1"/>
  <c r="Q217" i="9" s="1"/>
  <c r="Q218" i="9" s="1"/>
  <c r="Q219" i="9" s="1"/>
  <c r="Q220" i="9" s="1"/>
  <c r="Q221" i="9" s="1"/>
  <c r="Q222" i="9" s="1"/>
  <c r="Q223" i="9" s="1"/>
  <c r="Q224" i="9" s="1"/>
  <c r="Q225" i="9" s="1"/>
  <c r="Q226" i="9" s="1"/>
  <c r="Q227" i="9" s="1"/>
  <c r="Q228" i="9" s="1"/>
  <c r="Q229" i="9" s="1"/>
  <c r="Q230" i="9" s="1"/>
  <c r="Q231" i="9" s="1"/>
  <c r="Q232" i="9" s="1"/>
  <c r="Q233" i="9" s="1"/>
  <c r="Q234" i="9" s="1"/>
  <c r="Q235" i="9" s="1"/>
  <c r="Q236" i="9" s="1"/>
  <c r="Q237" i="9" s="1"/>
  <c r="Q238" i="9" s="1"/>
  <c r="Q239" i="9" s="1"/>
  <c r="Q240" i="9" s="1"/>
  <c r="Q241" i="9" s="1"/>
  <c r="Q242" i="9" s="1"/>
  <c r="Q243" i="9" s="1"/>
  <c r="Q244" i="9" s="1"/>
  <c r="Q245" i="9" s="1"/>
  <c r="Q246" i="9" s="1"/>
  <c r="Q247" i="9" s="1"/>
  <c r="Q248" i="9" s="1"/>
  <c r="Q249" i="9" s="1"/>
  <c r="Q250" i="9" s="1"/>
  <c r="Q251" i="9" s="1"/>
  <c r="Q252" i="9" s="1"/>
  <c r="Q253" i="9" s="1"/>
  <c r="Q254" i="9" s="1"/>
  <c r="Q255" i="9" s="1"/>
  <c r="Q256" i="9" s="1"/>
  <c r="Q257" i="9" s="1"/>
  <c r="Q258" i="9" s="1"/>
  <c r="Q259" i="9" s="1"/>
  <c r="Q260" i="9" s="1"/>
  <c r="Q261" i="9" s="1"/>
  <c r="Q262" i="9" s="1"/>
  <c r="Q263" i="9" s="1"/>
  <c r="Q264" i="9" s="1"/>
  <c r="Q265" i="9" s="1"/>
  <c r="Q266" i="9" s="1"/>
  <c r="Q267" i="9" s="1"/>
  <c r="Q268" i="9" s="1"/>
  <c r="Q269" i="9" s="1"/>
  <c r="Q270" i="9" s="1"/>
  <c r="Q271" i="9" s="1"/>
  <c r="Q272" i="9" s="1"/>
  <c r="Q273" i="9" s="1"/>
  <c r="Q274" i="9" s="1"/>
  <c r="Q275" i="9" s="1"/>
  <c r="Q276" i="9" s="1"/>
  <c r="Q277" i="9" s="1"/>
  <c r="Q278" i="9" s="1"/>
  <c r="Q279" i="9" s="1"/>
  <c r="Q280" i="9" s="1"/>
  <c r="Q281" i="9" s="1"/>
  <c r="Q282" i="9" s="1"/>
  <c r="Q283" i="9" s="1"/>
  <c r="Q284" i="9" s="1"/>
  <c r="Q285" i="9" s="1"/>
  <c r="Q286" i="9" s="1"/>
  <c r="Q287" i="9" s="1"/>
  <c r="Q288" i="9" s="1"/>
  <c r="Q289" i="9" s="1"/>
  <c r="Q290" i="9" s="1"/>
  <c r="Q291" i="9" s="1"/>
  <c r="Q292" i="9" s="1"/>
  <c r="Q293" i="9" s="1"/>
  <c r="Q294" i="9" s="1"/>
  <c r="Q295" i="9" s="1"/>
  <c r="Q296" i="9" s="1"/>
  <c r="Q297" i="9" s="1"/>
  <c r="Q298" i="9" s="1"/>
  <c r="Q299" i="9" s="1"/>
  <c r="Q300" i="9" s="1"/>
  <c r="Q301" i="9" s="1"/>
  <c r="Q302" i="9" s="1"/>
  <c r="Q303" i="9" s="1"/>
  <c r="Q304" i="9" s="1"/>
  <c r="Q305" i="9" s="1"/>
  <c r="Q306" i="9" s="1"/>
  <c r="Q307" i="9" s="1"/>
  <c r="Q308" i="9" s="1"/>
  <c r="Q309" i="9" s="1"/>
  <c r="Q310" i="9" s="1"/>
  <c r="Q311" i="9" s="1"/>
  <c r="Q312" i="9" s="1"/>
  <c r="Q313" i="9" s="1"/>
  <c r="Q314" i="9" s="1"/>
  <c r="Q315" i="9" s="1"/>
  <c r="Q316" i="9" s="1"/>
  <c r="Q317" i="9" s="1"/>
  <c r="Q318" i="9" s="1"/>
  <c r="Q319" i="9" s="1"/>
  <c r="Q320" i="9" s="1"/>
  <c r="Q321" i="9" s="1"/>
  <c r="Q322" i="9" s="1"/>
  <c r="Q323" i="9" s="1"/>
  <c r="Q324" i="9" s="1"/>
  <c r="Q325" i="9" s="1"/>
  <c r="Q326" i="9" s="1"/>
  <c r="Q327" i="9" s="1"/>
  <c r="Q328" i="9" s="1"/>
  <c r="Q329" i="9" s="1"/>
  <c r="Q330" i="9" s="1"/>
  <c r="Q331" i="9" s="1"/>
  <c r="Q332" i="9" s="1"/>
  <c r="Q333" i="9" s="1"/>
  <c r="Q334" i="9" s="1"/>
  <c r="Q335" i="9" s="1"/>
  <c r="Q336" i="9" s="1"/>
  <c r="Q337" i="9" s="1"/>
  <c r="Q338" i="9" s="1"/>
  <c r="Q339" i="9" s="1"/>
  <c r="Q340" i="9" s="1"/>
  <c r="Q341" i="9" s="1"/>
  <c r="Q342" i="9" s="1"/>
  <c r="Q343" i="9" s="1"/>
  <c r="Q344" i="9" s="1"/>
  <c r="Q345" i="9" s="1"/>
  <c r="Q346" i="9" s="1"/>
  <c r="Q347" i="9" s="1"/>
  <c r="Q348" i="9" s="1"/>
  <c r="Q349" i="9" s="1"/>
  <c r="Q350" i="9" s="1"/>
  <c r="Q351" i="9" s="1"/>
  <c r="Q352" i="9" s="1"/>
  <c r="Q353" i="9" s="1"/>
  <c r="Q354" i="9" s="1"/>
  <c r="Q355" i="9" s="1"/>
  <c r="Q356" i="9" s="1"/>
  <c r="Q357" i="9" s="1"/>
  <c r="Q358" i="9" s="1"/>
  <c r="Q359" i="9" s="1"/>
  <c r="Q360" i="9" s="1"/>
  <c r="Q361" i="9" s="1"/>
  <c r="Q362" i="9" s="1"/>
  <c r="Q363" i="9" s="1"/>
  <c r="Q364" i="9" s="1"/>
  <c r="Q365" i="9" s="1"/>
  <c r="Q366" i="9" s="1"/>
  <c r="Q367" i="9" s="1"/>
  <c r="Q368" i="9" s="1"/>
  <c r="Q369" i="9" s="1"/>
  <c r="Q370" i="9" s="1"/>
  <c r="Q371" i="9" s="1"/>
  <c r="Q372" i="9" s="1"/>
  <c r="Q373" i="9" s="1"/>
  <c r="Q374" i="9" s="1"/>
  <c r="Q375" i="9" s="1"/>
  <c r="Q376" i="9" s="1"/>
  <c r="Q377" i="9" s="1"/>
  <c r="Q378" i="9" s="1"/>
  <c r="Q379" i="9" s="1"/>
  <c r="Q380" i="9" s="1"/>
  <c r="Q381" i="9" s="1"/>
  <c r="Q382" i="9" s="1"/>
  <c r="Q383" i="9" s="1"/>
  <c r="Q384" i="9" s="1"/>
  <c r="Q385" i="9" s="1"/>
  <c r="Q386" i="9" s="1"/>
  <c r="Q387" i="9" s="1"/>
  <c r="Q388" i="9" s="1"/>
  <c r="Q389" i="9" s="1"/>
  <c r="Q390" i="9" s="1"/>
  <c r="Q391" i="9" s="1"/>
  <c r="Q392" i="9" s="1"/>
  <c r="Q393" i="9" s="1"/>
  <c r="Q394" i="9" s="1"/>
  <c r="Q395" i="9" s="1"/>
  <c r="Q396" i="9" s="1"/>
  <c r="Q397" i="9" s="1"/>
  <c r="Q398" i="9" s="1"/>
  <c r="Q399" i="9" s="1"/>
  <c r="Q400" i="9" s="1"/>
  <c r="Q401" i="9" s="1"/>
  <c r="Q402" i="9" s="1"/>
  <c r="Q403" i="9" s="1"/>
  <c r="Q404" i="9" s="1"/>
  <c r="Q405" i="9" s="1"/>
  <c r="Q406" i="9" s="1"/>
  <c r="Q407" i="9" s="1"/>
  <c r="Q408" i="9" s="1"/>
  <c r="Q409" i="9" s="1"/>
  <c r="Q410" i="9" s="1"/>
  <c r="Q411" i="9" s="1"/>
  <c r="Q412" i="9" s="1"/>
  <c r="Q413" i="9" s="1"/>
  <c r="Q414" i="9" s="1"/>
  <c r="Q415" i="9" s="1"/>
  <c r="Q416" i="9" s="1"/>
  <c r="Q417" i="9" s="1"/>
  <c r="Q418" i="9" s="1"/>
  <c r="Q419" i="9" s="1"/>
  <c r="Q420" i="9" s="1"/>
  <c r="Q421" i="9" s="1"/>
  <c r="Q422" i="9" s="1"/>
  <c r="Q423" i="9" s="1"/>
  <c r="Q424" i="9" s="1"/>
  <c r="Q425" i="9" s="1"/>
  <c r="Q426" i="9" s="1"/>
  <c r="Q427" i="9" s="1"/>
  <c r="Q428" i="9" s="1"/>
  <c r="Q429" i="9" s="1"/>
  <c r="Q430" i="9" s="1"/>
  <c r="Q431" i="9" s="1"/>
  <c r="Q432" i="9" s="1"/>
  <c r="Q433" i="9" s="1"/>
  <c r="Q434" i="9" s="1"/>
  <c r="Q435" i="9" s="1"/>
  <c r="Q436" i="9" s="1"/>
  <c r="Q437" i="9" s="1"/>
  <c r="Q438" i="9" s="1"/>
  <c r="Q439" i="9" s="1"/>
  <c r="Q440" i="9" s="1"/>
  <c r="Q441" i="9" s="1"/>
  <c r="Q442" i="9" s="1"/>
  <c r="Q443" i="9" s="1"/>
  <c r="Q444" i="9" s="1"/>
  <c r="Q445" i="9" s="1"/>
  <c r="Q446" i="9" s="1"/>
  <c r="Q447" i="9" s="1"/>
  <c r="Q448" i="9" s="1"/>
  <c r="Q449" i="9" s="1"/>
  <c r="Q450" i="9" s="1"/>
  <c r="Q451" i="9" s="1"/>
  <c r="Q452" i="9" s="1"/>
  <c r="Q453" i="9" s="1"/>
  <c r="Q454" i="9" s="1"/>
  <c r="Q455" i="9" s="1"/>
  <c r="Q456" i="9" s="1"/>
  <c r="Q457" i="9" s="1"/>
  <c r="Q458" i="9" s="1"/>
  <c r="Q459" i="9" s="1"/>
  <c r="Q460" i="9" s="1"/>
  <c r="Q461" i="9" s="1"/>
  <c r="Q462" i="9" s="1"/>
  <c r="Q463" i="9" s="1"/>
  <c r="Q464" i="9" s="1"/>
  <c r="Q465" i="9" s="1"/>
  <c r="Q466" i="9" s="1"/>
  <c r="Q467" i="9" s="1"/>
  <c r="Q468" i="9" s="1"/>
  <c r="Q469" i="9" s="1"/>
  <c r="Q470" i="9" s="1"/>
  <c r="Q471" i="9" s="1"/>
  <c r="Q472" i="9" s="1"/>
  <c r="Q473" i="9" s="1"/>
  <c r="Q474" i="9" s="1"/>
  <c r="Q475" i="9" s="1"/>
  <c r="Q476" i="9" s="1"/>
  <c r="Q477" i="9" s="1"/>
  <c r="Q478" i="9" s="1"/>
  <c r="Q479" i="9" s="1"/>
  <c r="Q480" i="9" s="1"/>
  <c r="Q481" i="9" s="1"/>
  <c r="Q482" i="9" s="1"/>
  <c r="Q483" i="9" s="1"/>
  <c r="Q484" i="9" s="1"/>
  <c r="Q485" i="9" s="1"/>
  <c r="Q486" i="9" s="1"/>
  <c r="Q487" i="9" s="1"/>
  <c r="Q488" i="9" s="1"/>
  <c r="Q489" i="9" s="1"/>
  <c r="Q490" i="9" s="1"/>
  <c r="Q491" i="9" s="1"/>
  <c r="Q492" i="9" s="1"/>
  <c r="Q493" i="9" s="1"/>
  <c r="Q494" i="9" s="1"/>
  <c r="Q495" i="9" s="1"/>
  <c r="Q496" i="9" s="1"/>
  <c r="Q497" i="9" s="1"/>
  <c r="Q498" i="9" s="1"/>
  <c r="Q499" i="9" s="1"/>
  <c r="Q500" i="9" s="1"/>
  <c r="Q501" i="9" s="1"/>
  <c r="Q502" i="9" s="1"/>
  <c r="Q503" i="9" s="1"/>
  <c r="Q504" i="9" s="1"/>
  <c r="Q505" i="9" s="1"/>
  <c r="Q506" i="9" s="1"/>
  <c r="Q507" i="9" s="1"/>
  <c r="Q508" i="9" s="1"/>
  <c r="Q509" i="9" s="1"/>
  <c r="Q510" i="9" s="1"/>
  <c r="Q511" i="9" s="1"/>
  <c r="Q512" i="9" s="1"/>
  <c r="Q513" i="9" s="1"/>
  <c r="Q514" i="9" s="1"/>
  <c r="Q515" i="9" s="1"/>
  <c r="Q516" i="9" s="1"/>
  <c r="Q517" i="9" s="1"/>
  <c r="Q518" i="9" s="1"/>
  <c r="Q519" i="9" s="1"/>
  <c r="Q520" i="9" s="1"/>
  <c r="Q521" i="9" s="1"/>
  <c r="Q522" i="9" s="1"/>
  <c r="Q523" i="9" s="1"/>
  <c r="Q524" i="9" s="1"/>
  <c r="Q525" i="9" s="1"/>
  <c r="Q526" i="9" s="1"/>
  <c r="Q527" i="9" s="1"/>
  <c r="Q528" i="9" s="1"/>
  <c r="Q529" i="9" s="1"/>
  <c r="Q530" i="9" s="1"/>
  <c r="Q531" i="9" s="1"/>
  <c r="Q532" i="9" s="1"/>
  <c r="Q533" i="9" s="1"/>
  <c r="Q534" i="9" s="1"/>
  <c r="Q535" i="9" s="1"/>
  <c r="Q536" i="9" s="1"/>
  <c r="Q537" i="9" s="1"/>
  <c r="Q538" i="9" s="1"/>
  <c r="Q539" i="9" s="1"/>
  <c r="Q540" i="9" s="1"/>
  <c r="Q541" i="9" s="1"/>
  <c r="Q542" i="9" s="1"/>
  <c r="Q543" i="9" s="1"/>
  <c r="Q544" i="9" s="1"/>
  <c r="Q545" i="9" s="1"/>
  <c r="Q546" i="9" s="1"/>
  <c r="Q547" i="9" s="1"/>
  <c r="Q548" i="9" s="1"/>
  <c r="Q549" i="9" s="1"/>
  <c r="Q550" i="9" s="1"/>
  <c r="Q551" i="9" s="1"/>
  <c r="Q552" i="9" s="1"/>
  <c r="Q553" i="9" s="1"/>
  <c r="Q554" i="9" s="1"/>
  <c r="Q555" i="9" s="1"/>
  <c r="Q556" i="9" s="1"/>
  <c r="Q557" i="9" s="1"/>
  <c r="Q558" i="9" s="1"/>
  <c r="Q559" i="9" s="1"/>
  <c r="Q560" i="9" s="1"/>
  <c r="Q561" i="9" s="1"/>
  <c r="Q562" i="9" s="1"/>
  <c r="Q563" i="9" s="1"/>
  <c r="Q564" i="9" s="1"/>
  <c r="Q565" i="9" s="1"/>
  <c r="Q566" i="9" s="1"/>
  <c r="Q567" i="9" s="1"/>
  <c r="Q568" i="9" s="1"/>
  <c r="Q569" i="9" s="1"/>
  <c r="Q570" i="9" s="1"/>
  <c r="Q571" i="9" s="1"/>
  <c r="Q572" i="9" s="1"/>
  <c r="Q573" i="9" s="1"/>
  <c r="Q574" i="9" s="1"/>
  <c r="Q575" i="9" s="1"/>
  <c r="Q576" i="9" s="1"/>
  <c r="Q577" i="9" s="1"/>
  <c r="Q578" i="9" s="1"/>
  <c r="Q579" i="9" s="1"/>
  <c r="Q580" i="9" s="1"/>
  <c r="Q581" i="9" s="1"/>
  <c r="Q582" i="9" s="1"/>
  <c r="Q583" i="9" s="1"/>
  <c r="Q584" i="9" s="1"/>
  <c r="Q585" i="9" s="1"/>
  <c r="Q586" i="9" s="1"/>
  <c r="Q587" i="9" s="1"/>
  <c r="Q588" i="9" s="1"/>
  <c r="Q589" i="9" s="1"/>
  <c r="Q590" i="9" s="1"/>
  <c r="Q591" i="9" s="1"/>
  <c r="Q592" i="9" s="1"/>
  <c r="Q593" i="9" s="1"/>
  <c r="Q594" i="9" s="1"/>
  <c r="Q595" i="9" s="1"/>
  <c r="Q596" i="9" s="1"/>
  <c r="Q597" i="9" s="1"/>
  <c r="Q598" i="9" s="1"/>
  <c r="Q599" i="9" s="1"/>
  <c r="Q600" i="9" s="1"/>
  <c r="Q601" i="9" s="1"/>
  <c r="Q602" i="9" s="1"/>
  <c r="Q603" i="9" s="1"/>
  <c r="Q604" i="9" s="1"/>
  <c r="Q605" i="9" s="1"/>
  <c r="Q606" i="9" s="1"/>
  <c r="Q607" i="9" s="1"/>
  <c r="Q608" i="9" s="1"/>
  <c r="Q609" i="9" s="1"/>
  <c r="Q610" i="9" s="1"/>
  <c r="Q611" i="9" s="1"/>
  <c r="Q612" i="9" s="1"/>
  <c r="Q613" i="9" s="1"/>
  <c r="Q614" i="9" s="1"/>
  <c r="Q615" i="9" s="1"/>
  <c r="Q616" i="9" s="1"/>
  <c r="Q617" i="9" s="1"/>
  <c r="Q618" i="9" s="1"/>
  <c r="Q619" i="9" s="1"/>
  <c r="Q620" i="9" s="1"/>
  <c r="Q621" i="9" s="1"/>
  <c r="Q622" i="9" s="1"/>
  <c r="Q623" i="9" s="1"/>
  <c r="Q624" i="9" s="1"/>
  <c r="Q625" i="9" s="1"/>
  <c r="Q626" i="9" s="1"/>
  <c r="Q627" i="9" s="1"/>
  <c r="Q628" i="9" s="1"/>
  <c r="Q629" i="9" s="1"/>
  <c r="Q630" i="9" s="1"/>
  <c r="Q631" i="9" s="1"/>
  <c r="Q632" i="9" s="1"/>
  <c r="Q633" i="9" s="1"/>
  <c r="Q634" i="9" s="1"/>
  <c r="Q635" i="9" s="1"/>
  <c r="Q636" i="9" s="1"/>
  <c r="Q637" i="9" s="1"/>
  <c r="Q638" i="9" s="1"/>
  <c r="C13" i="9"/>
  <c r="C14" i="9" s="1"/>
  <c r="C15" i="9" s="1"/>
  <c r="L13" i="9"/>
  <c r="N18" i="9" s="1"/>
  <c r="AD24" i="1"/>
  <c r="S12" i="4"/>
  <c r="U13" i="4" s="1"/>
  <c r="N12" i="4"/>
  <c r="P13" i="4" s="1"/>
  <c r="T13" i="4"/>
  <c r="O13" i="4"/>
  <c r="W30" i="1"/>
  <c r="Q30" i="1"/>
  <c r="D23" i="6"/>
  <c r="R17" i="6"/>
  <c r="E17" i="6"/>
  <c r="D26" i="1"/>
  <c r="D21" i="2" s="1"/>
  <c r="D25" i="2" s="1"/>
  <c r="D22" i="1"/>
  <c r="AD23" i="1" s="1"/>
  <c r="D24" i="1"/>
  <c r="K14" i="2" s="1"/>
  <c r="D23" i="1"/>
  <c r="K13" i="2" s="1"/>
  <c r="K31" i="2"/>
  <c r="K30" i="2"/>
  <c r="K29" i="2"/>
  <c r="K12" i="2"/>
  <c r="K16" i="2"/>
  <c r="R30" i="2" s="1"/>
  <c r="R32" i="2" s="1"/>
  <c r="S8" i="6"/>
  <c r="R8" i="6"/>
  <c r="F8" i="6"/>
  <c r="E8" i="6"/>
  <c r="P8" i="6"/>
  <c r="C8" i="6"/>
  <c r="R20" i="2"/>
  <c r="R22" i="2" s="1"/>
  <c r="D8" i="6"/>
  <c r="N28" i="8"/>
  <c r="N26" i="8"/>
  <c r="N24" i="8"/>
  <c r="N22" i="8"/>
  <c r="I13" i="4"/>
  <c r="H13" i="4"/>
  <c r="K30" i="1"/>
  <c r="R12" i="4" s="1"/>
  <c r="J9" i="3"/>
  <c r="J8" i="3"/>
  <c r="J7" i="3"/>
  <c r="D12" i="4"/>
  <c r="I12" i="4" s="1"/>
  <c r="D20" i="2" l="1"/>
  <c r="R34" i="2" s="1"/>
  <c r="E27" i="4" s="1"/>
  <c r="H27" i="4" s="1"/>
  <c r="H12" i="4"/>
  <c r="K33" i="2"/>
  <c r="K11" i="1"/>
  <c r="K17" i="1" s="1"/>
  <c r="K18" i="1" s="1"/>
  <c r="D11" i="4" s="1"/>
  <c r="D27" i="1"/>
  <c r="K15" i="2"/>
  <c r="K18" i="2" s="1"/>
  <c r="AD26" i="1"/>
  <c r="D14" i="4" s="1"/>
  <c r="D25" i="1"/>
  <c r="D29" i="1" s="1"/>
  <c r="D30" i="1" s="1"/>
  <c r="D10" i="4" s="1"/>
  <c r="K32" i="2"/>
  <c r="T12" i="4"/>
  <c r="U12" i="4"/>
  <c r="Q8" i="6"/>
  <c r="M12" i="4"/>
  <c r="E14" i="9"/>
  <c r="E13" i="9"/>
  <c r="D13" i="9"/>
  <c r="D14" i="9"/>
  <c r="C16" i="9"/>
  <c r="C17" i="9" s="1"/>
  <c r="C18" i="9" s="1"/>
  <c r="E18" i="9" s="1"/>
  <c r="E15" i="9"/>
  <c r="D15" i="9"/>
  <c r="N49" i="9"/>
  <c r="N73" i="9"/>
  <c r="L57" i="9"/>
  <c r="N62" i="9" s="1"/>
  <c r="N65" i="9" s="1"/>
  <c r="N48" i="9"/>
  <c r="L35" i="9"/>
  <c r="N40" i="9" s="1"/>
  <c r="N39" i="9" s="1"/>
  <c r="N26" i="9"/>
  <c r="N70" i="9"/>
  <c r="N51" i="9"/>
  <c r="N29" i="9"/>
  <c r="N74" i="9"/>
  <c r="N69" i="9"/>
  <c r="N27" i="9"/>
  <c r="N71" i="9"/>
  <c r="N52" i="9"/>
  <c r="N47" i="9"/>
  <c r="N30" i="9"/>
  <c r="N25" i="9"/>
  <c r="N21" i="9"/>
  <c r="N22" i="9"/>
  <c r="N17" i="9"/>
  <c r="N19" i="9"/>
  <c r="N72" i="9"/>
  <c r="N50" i="9"/>
  <c r="N28" i="9"/>
  <c r="K35" i="2" l="1"/>
  <c r="K37" i="2" s="1"/>
  <c r="E24" i="4" s="1"/>
  <c r="I24" i="4" s="1"/>
  <c r="K20" i="2"/>
  <c r="E23" i="4" s="1"/>
  <c r="H23" i="4" s="1"/>
  <c r="R24" i="2"/>
  <c r="E26" i="4" s="1"/>
  <c r="H26" i="4" s="1"/>
  <c r="R9" i="2"/>
  <c r="R11" i="2" s="1"/>
  <c r="R13" i="2" s="1"/>
  <c r="E25" i="4" s="1"/>
  <c r="I25" i="4" s="1"/>
  <c r="D27" i="2"/>
  <c r="E22" i="4" s="1"/>
  <c r="H22" i="4" s="1"/>
  <c r="D16" i="9"/>
  <c r="W11" i="1"/>
  <c r="W17" i="1" s="1"/>
  <c r="W18" i="1" s="1"/>
  <c r="R11" i="4" s="1"/>
  <c r="T11" i="4" s="1"/>
  <c r="Q11" i="1"/>
  <c r="Q17" i="1" s="1"/>
  <c r="Q18" i="1" s="1"/>
  <c r="M11" i="4" s="1"/>
  <c r="P11" i="4" s="1"/>
  <c r="H11" i="4"/>
  <c r="I11" i="4"/>
  <c r="M14" i="4"/>
  <c r="P14" i="4" s="1"/>
  <c r="I27" i="4"/>
  <c r="M10" i="4"/>
  <c r="P10" i="4" s="1"/>
  <c r="R10" i="4"/>
  <c r="U10" i="4" s="1"/>
  <c r="E16" i="9"/>
  <c r="H14" i="4"/>
  <c r="I14" i="4"/>
  <c r="R14" i="4"/>
  <c r="U14" i="4" s="1"/>
  <c r="E17" i="9"/>
  <c r="D17" i="9"/>
  <c r="I10" i="4"/>
  <c r="H10" i="4"/>
  <c r="O12" i="4"/>
  <c r="P12" i="4"/>
  <c r="D18" i="9"/>
  <c r="C19" i="9"/>
  <c r="E19" i="9" s="1"/>
  <c r="N61" i="9"/>
  <c r="N60" i="9" s="1"/>
  <c r="N59" i="9" s="1"/>
  <c r="N58" i="9" s="1"/>
  <c r="N44" i="9"/>
  <c r="N41" i="9"/>
  <c r="N43" i="9"/>
  <c r="N63" i="9"/>
  <c r="N66" i="9"/>
  <c r="N16" i="9"/>
  <c r="N15" i="9" s="1"/>
  <c r="N14" i="9" s="1"/>
  <c r="N20" i="9"/>
  <c r="N42" i="9"/>
  <c r="N38" i="9"/>
  <c r="N37" i="9" s="1"/>
  <c r="N36" i="9" s="1"/>
  <c r="H25" i="4" l="1"/>
  <c r="I23" i="4"/>
  <c r="I26" i="4"/>
  <c r="I22" i="4"/>
  <c r="H24" i="4"/>
  <c r="H28" i="4" s="1"/>
  <c r="H29" i="4" s="1"/>
  <c r="U11" i="4"/>
  <c r="U15" i="4" s="1"/>
  <c r="U16" i="4" s="1"/>
  <c r="O14" i="4"/>
  <c r="O11" i="4"/>
  <c r="T14" i="4"/>
  <c r="O10" i="4"/>
  <c r="I15" i="4"/>
  <c r="I16" i="4" s="1"/>
  <c r="F11" i="6" s="1"/>
  <c r="T10" i="4"/>
  <c r="H15" i="4"/>
  <c r="H16" i="4" s="1"/>
  <c r="N64" i="9"/>
  <c r="F17" i="9" s="1"/>
  <c r="C20" i="9"/>
  <c r="C21" i="9" s="1"/>
  <c r="D19" i="9"/>
  <c r="P15" i="4"/>
  <c r="P16" i="4" s="1"/>
  <c r="O24" i="4" l="1"/>
  <c r="I28" i="4"/>
  <c r="I29" i="4" s="1"/>
  <c r="X9" i="6" s="1"/>
  <c r="T17" i="6" s="1"/>
  <c r="T15" i="4"/>
  <c r="T16" i="4" s="1"/>
  <c r="O15" i="4"/>
  <c r="O16" i="4" s="1"/>
  <c r="D17" i="6"/>
  <c r="F16" i="9"/>
  <c r="I16" i="9" s="1"/>
  <c r="F18" i="9"/>
  <c r="G18" i="9" s="1"/>
  <c r="F15" i="9"/>
  <c r="G15" i="9" s="1"/>
  <c r="F20" i="9"/>
  <c r="H20" i="9" s="1"/>
  <c r="F13" i="9"/>
  <c r="H13" i="9" s="1"/>
  <c r="F14" i="9"/>
  <c r="H14" i="9" s="1"/>
  <c r="F19" i="9"/>
  <c r="G19" i="9" s="1"/>
  <c r="E20" i="9"/>
  <c r="D20" i="9"/>
  <c r="C22" i="9"/>
  <c r="D21" i="9"/>
  <c r="E21" i="9"/>
  <c r="F21" i="9"/>
  <c r="H21" i="9" s="1"/>
  <c r="G17" i="9"/>
  <c r="H17" i="9"/>
  <c r="I17" i="9"/>
  <c r="K9" i="6" l="1"/>
  <c r="G17" i="6" s="1"/>
  <c r="D11" i="6"/>
  <c r="I15" i="9"/>
  <c r="X11" i="6"/>
  <c r="S11" i="6"/>
  <c r="Q17" i="6"/>
  <c r="Q11" i="6"/>
  <c r="G16" i="9"/>
  <c r="H16" i="9"/>
  <c r="H18" i="9"/>
  <c r="G14" i="9"/>
  <c r="H15" i="9"/>
  <c r="G13" i="9"/>
  <c r="I18" i="9"/>
  <c r="I14" i="9"/>
  <c r="I13" i="9"/>
  <c r="J13" i="9" s="1"/>
  <c r="G20" i="9"/>
  <c r="I19" i="9"/>
  <c r="I20" i="9"/>
  <c r="H19" i="9"/>
  <c r="I21" i="9"/>
  <c r="G21" i="9"/>
  <c r="C23" i="9"/>
  <c r="E22" i="9"/>
  <c r="D22" i="9"/>
  <c r="F22" i="9"/>
  <c r="K11" i="6" l="1"/>
  <c r="J14" i="9"/>
  <c r="B14" i="9" s="1"/>
  <c r="G22" i="9"/>
  <c r="H22" i="9"/>
  <c r="I22" i="9"/>
  <c r="C24" i="9"/>
  <c r="E23" i="9"/>
  <c r="D23" i="9"/>
  <c r="F23" i="9"/>
  <c r="H23" i="9" s="1"/>
  <c r="J15" i="9" l="1"/>
  <c r="B15" i="9" s="1"/>
  <c r="I23" i="9"/>
  <c r="G23" i="9"/>
  <c r="C25" i="9"/>
  <c r="D24" i="9"/>
  <c r="E24" i="9"/>
  <c r="F24" i="9"/>
  <c r="H24" i="9" s="1"/>
  <c r="J16" i="9" l="1"/>
  <c r="B16" i="9" s="1"/>
  <c r="I24" i="9"/>
  <c r="G24" i="9"/>
  <c r="C26" i="9"/>
  <c r="E25" i="9"/>
  <c r="D25" i="9"/>
  <c r="F25" i="9"/>
  <c r="G25" i="9" s="1"/>
  <c r="J17" i="9" l="1"/>
  <c r="B17" i="9" s="1"/>
  <c r="I25" i="9"/>
  <c r="H25" i="9"/>
  <c r="C27" i="9"/>
  <c r="D26" i="9"/>
  <c r="E26" i="9"/>
  <c r="F26" i="9"/>
  <c r="H26" i="9" s="1"/>
  <c r="J18" i="9" l="1"/>
  <c r="B18" i="9" s="1"/>
  <c r="I26" i="9"/>
  <c r="G26" i="9"/>
  <c r="C28" i="9"/>
  <c r="D27" i="9"/>
  <c r="E27" i="9"/>
  <c r="F27" i="9"/>
  <c r="H27" i="9" s="1"/>
  <c r="J19" i="9" l="1"/>
  <c r="B19" i="9" s="1"/>
  <c r="G27" i="9"/>
  <c r="I27" i="9"/>
  <c r="E28" i="9"/>
  <c r="F28" i="9"/>
  <c r="G28" i="9" s="1"/>
  <c r="C29" i="9"/>
  <c r="D28" i="9"/>
  <c r="J20" i="9" l="1"/>
  <c r="H28" i="9"/>
  <c r="I28" i="9"/>
  <c r="F29" i="9"/>
  <c r="G29" i="9" s="1"/>
  <c r="E29" i="9"/>
  <c r="D29" i="9"/>
  <c r="C30" i="9"/>
  <c r="B20" i="9" l="1"/>
  <c r="J21" i="9"/>
  <c r="F30" i="9"/>
  <c r="G30" i="9" s="1"/>
  <c r="E30" i="9"/>
  <c r="D30" i="9"/>
  <c r="C31" i="9"/>
  <c r="H29" i="9"/>
  <c r="I29" i="9"/>
  <c r="J22" i="9" l="1"/>
  <c r="B21" i="9"/>
  <c r="I30" i="9"/>
  <c r="H30" i="9"/>
  <c r="F31" i="9"/>
  <c r="G31" i="9" s="1"/>
  <c r="E31" i="9"/>
  <c r="C32" i="9"/>
  <c r="D31" i="9"/>
  <c r="B22" i="9" l="1"/>
  <c r="J23" i="9"/>
  <c r="H31" i="9"/>
  <c r="I31" i="9"/>
  <c r="C33" i="9"/>
  <c r="D32" i="9"/>
  <c r="F32" i="9"/>
  <c r="H32" i="9" s="1"/>
  <c r="E32" i="9"/>
  <c r="J24" i="9" l="1"/>
  <c r="B23" i="9"/>
  <c r="I32" i="9"/>
  <c r="G32" i="9"/>
  <c r="C34" i="9"/>
  <c r="D33" i="9"/>
  <c r="F33" i="9"/>
  <c r="G33" i="9" s="1"/>
  <c r="E33" i="9"/>
  <c r="J25" i="9" l="1"/>
  <c r="B24" i="9"/>
  <c r="I33" i="9"/>
  <c r="H33" i="9"/>
  <c r="F34" i="9"/>
  <c r="H34" i="9" s="1"/>
  <c r="D34" i="9"/>
  <c r="E34" i="9"/>
  <c r="C35" i="9"/>
  <c r="J26" i="9" l="1"/>
  <c r="B25" i="9"/>
  <c r="I34" i="9"/>
  <c r="G34" i="9"/>
  <c r="E35" i="9"/>
  <c r="D35" i="9"/>
  <c r="F35" i="9"/>
  <c r="H35" i="9" s="1"/>
  <c r="C36" i="9"/>
  <c r="J27" i="9" l="1"/>
  <c r="B26" i="9"/>
  <c r="I35" i="9"/>
  <c r="G35" i="9"/>
  <c r="C37" i="9"/>
  <c r="D36" i="9"/>
  <c r="F36" i="9"/>
  <c r="G36" i="9" s="1"/>
  <c r="E36" i="9"/>
  <c r="B27" i="9" l="1"/>
  <c r="J28" i="9"/>
  <c r="I36" i="9"/>
  <c r="H36" i="9"/>
  <c r="C38" i="9"/>
  <c r="F37" i="9"/>
  <c r="G37" i="9" s="1"/>
  <c r="D37" i="9"/>
  <c r="E37" i="9"/>
  <c r="B28" i="9" l="1"/>
  <c r="J29" i="9"/>
  <c r="I37" i="9"/>
  <c r="H37" i="9"/>
  <c r="F38" i="9"/>
  <c r="D38" i="9"/>
  <c r="E38" i="9"/>
  <c r="C39" i="9"/>
  <c r="B29" i="9" l="1"/>
  <c r="J30" i="9"/>
  <c r="I38" i="9"/>
  <c r="G38" i="9"/>
  <c r="H38" i="9"/>
  <c r="F39" i="9"/>
  <c r="G39" i="9" s="1"/>
  <c r="E39" i="9"/>
  <c r="C40" i="9"/>
  <c r="D39" i="9"/>
  <c r="J31" i="9" l="1"/>
  <c r="B30" i="9"/>
  <c r="I39" i="9"/>
  <c r="H39" i="9"/>
  <c r="E40" i="9"/>
  <c r="F40" i="9"/>
  <c r="H40" i="9" s="1"/>
  <c r="C41" i="9"/>
  <c r="D40" i="9"/>
  <c r="J32" i="9" l="1"/>
  <c r="B31" i="9"/>
  <c r="G40" i="9"/>
  <c r="E41" i="9"/>
  <c r="D41" i="9"/>
  <c r="F41" i="9"/>
  <c r="H41" i="9" s="1"/>
  <c r="C42" i="9"/>
  <c r="I40" i="9"/>
  <c r="B32" i="9" l="1"/>
  <c r="J33" i="9"/>
  <c r="I41" i="9"/>
  <c r="G41" i="9"/>
  <c r="F42" i="9"/>
  <c r="G42" i="9" s="1"/>
  <c r="E42" i="9"/>
  <c r="D42" i="9"/>
  <c r="C43" i="9"/>
  <c r="B33" i="9" l="1"/>
  <c r="J34" i="9"/>
  <c r="I42" i="9"/>
  <c r="H42" i="9"/>
  <c r="D43" i="9"/>
  <c r="E43" i="9"/>
  <c r="C44" i="9"/>
  <c r="F43" i="9"/>
  <c r="H43" i="9" s="1"/>
  <c r="J35" i="9" l="1"/>
  <c r="B34" i="9"/>
  <c r="I43" i="9"/>
  <c r="F44" i="9"/>
  <c r="G44" i="9" s="1"/>
  <c r="D44" i="9"/>
  <c r="E44" i="9"/>
  <c r="C45" i="9"/>
  <c r="G43" i="9"/>
  <c r="B35" i="9" l="1"/>
  <c r="J36" i="9"/>
  <c r="H44" i="9"/>
  <c r="F45" i="9"/>
  <c r="G45" i="9" s="1"/>
  <c r="D45" i="9"/>
  <c r="C46" i="9"/>
  <c r="E45" i="9"/>
  <c r="I44" i="9"/>
  <c r="B36" i="9" l="1"/>
  <c r="J37" i="9"/>
  <c r="F46" i="9"/>
  <c r="C47" i="9"/>
  <c r="D46" i="9"/>
  <c r="E46" i="9"/>
  <c r="I45" i="9"/>
  <c r="H45" i="9"/>
  <c r="B37" i="9" l="1"/>
  <c r="J38" i="9"/>
  <c r="I46" i="9"/>
  <c r="G46" i="9"/>
  <c r="H46" i="9"/>
  <c r="D47" i="9"/>
  <c r="F47" i="9"/>
  <c r="H47" i="9" s="1"/>
  <c r="E47" i="9"/>
  <c r="C48" i="9"/>
  <c r="B38" i="9" l="1"/>
  <c r="J39" i="9"/>
  <c r="G47" i="9"/>
  <c r="I47" i="9"/>
  <c r="C49" i="9"/>
  <c r="D48" i="9"/>
  <c r="F48" i="9"/>
  <c r="H48" i="9" s="1"/>
  <c r="E48" i="9"/>
  <c r="B39" i="9" l="1"/>
  <c r="J40" i="9"/>
  <c r="I48" i="9"/>
  <c r="G48" i="9"/>
  <c r="D49" i="9"/>
  <c r="F49" i="9"/>
  <c r="G49" i="9" s="1"/>
  <c r="C50" i="9"/>
  <c r="E49" i="9"/>
  <c r="B40" i="9" l="1"/>
  <c r="J41" i="9"/>
  <c r="I49" i="9"/>
  <c r="C51" i="9"/>
  <c r="D50" i="9"/>
  <c r="F50" i="9"/>
  <c r="E50" i="9"/>
  <c r="H49" i="9"/>
  <c r="I50" i="9" l="1"/>
  <c r="B41" i="9"/>
  <c r="J42" i="9"/>
  <c r="G50" i="9"/>
  <c r="D51" i="9"/>
  <c r="E51" i="9"/>
  <c r="C52" i="9"/>
  <c r="F51" i="9"/>
  <c r="H51" i="9" s="1"/>
  <c r="H50" i="9"/>
  <c r="B42" i="9" l="1"/>
  <c r="J43" i="9"/>
  <c r="F52" i="9"/>
  <c r="H52" i="9" s="1"/>
  <c r="E52" i="9"/>
  <c r="C53" i="9"/>
  <c r="D52" i="9"/>
  <c r="I51" i="9"/>
  <c r="G51" i="9"/>
  <c r="J44" i="9" l="1"/>
  <c r="B43" i="9"/>
  <c r="I52" i="9"/>
  <c r="D53" i="9"/>
  <c r="E53" i="9"/>
  <c r="C54" i="9"/>
  <c r="F53" i="9"/>
  <c r="H53" i="9" s="1"/>
  <c r="G52" i="9"/>
  <c r="B44" i="9" l="1"/>
  <c r="J45" i="9"/>
  <c r="C55" i="9"/>
  <c r="F54" i="9"/>
  <c r="G54" i="9" s="1"/>
  <c r="D54" i="9"/>
  <c r="E54" i="9"/>
  <c r="G53" i="9"/>
  <c r="I53" i="9"/>
  <c r="B45" i="9" l="1"/>
  <c r="J46" i="9"/>
  <c r="I54" i="9"/>
  <c r="H54" i="9"/>
  <c r="D55" i="9"/>
  <c r="E55" i="9"/>
  <c r="C56" i="9"/>
  <c r="F55" i="9"/>
  <c r="G55" i="9" s="1"/>
  <c r="B46" i="9" l="1"/>
  <c r="J47" i="9"/>
  <c r="D56" i="9"/>
  <c r="E56" i="9"/>
  <c r="F56" i="9"/>
  <c r="G56" i="9" s="1"/>
  <c r="C57" i="9"/>
  <c r="H55" i="9"/>
  <c r="I55" i="9"/>
  <c r="B47" i="9" l="1"/>
  <c r="J48" i="9"/>
  <c r="I56" i="9"/>
  <c r="E57" i="9"/>
  <c r="D57" i="9"/>
  <c r="F57" i="9"/>
  <c r="H57" i="9" s="1"/>
  <c r="C58" i="9"/>
  <c r="H56" i="9"/>
  <c r="J49" i="9" l="1"/>
  <c r="B48" i="9"/>
  <c r="I57" i="9"/>
  <c r="C59" i="9"/>
  <c r="F58" i="9"/>
  <c r="D58" i="9"/>
  <c r="E58" i="9"/>
  <c r="G57" i="9"/>
  <c r="B49" i="9" l="1"/>
  <c r="J50" i="9"/>
  <c r="I58" i="9"/>
  <c r="G58" i="9"/>
  <c r="H58" i="9"/>
  <c r="F59" i="9"/>
  <c r="H59" i="9" s="1"/>
  <c r="E59" i="9"/>
  <c r="C60" i="9"/>
  <c r="D59" i="9"/>
  <c r="B50" i="9" l="1"/>
  <c r="J51" i="9"/>
  <c r="I59" i="9"/>
  <c r="G59" i="9"/>
  <c r="E60" i="9"/>
  <c r="C61" i="9"/>
  <c r="F60" i="9"/>
  <c r="H60" i="9" s="1"/>
  <c r="D60" i="9"/>
  <c r="B51" i="9" l="1"/>
  <c r="J52" i="9"/>
  <c r="E61" i="9"/>
  <c r="D61" i="9"/>
  <c r="F61" i="9"/>
  <c r="G61" i="9" s="1"/>
  <c r="C62" i="9"/>
  <c r="G60" i="9"/>
  <c r="I60" i="9"/>
  <c r="B52" i="9" l="1"/>
  <c r="J53" i="9"/>
  <c r="E62" i="9"/>
  <c r="C63" i="9"/>
  <c r="D62" i="9"/>
  <c r="F62" i="9"/>
  <c r="H62" i="9" s="1"/>
  <c r="I61" i="9"/>
  <c r="H61" i="9"/>
  <c r="J54" i="9" l="1"/>
  <c r="B53" i="9"/>
  <c r="I62" i="9"/>
  <c r="G62" i="9"/>
  <c r="E63" i="9"/>
  <c r="C64" i="9"/>
  <c r="D63" i="9"/>
  <c r="F63" i="9"/>
  <c r="G63" i="9" s="1"/>
  <c r="B54" i="9" l="1"/>
  <c r="J55" i="9"/>
  <c r="I63" i="9"/>
  <c r="E64" i="9"/>
  <c r="F64" i="9"/>
  <c r="G64" i="9" s="1"/>
  <c r="D64" i="9"/>
  <c r="C65" i="9"/>
  <c r="H63" i="9"/>
  <c r="B55" i="9" l="1"/>
  <c r="C5" i="9" s="1"/>
  <c r="C7" i="9" s="1"/>
  <c r="J56" i="9"/>
  <c r="I64" i="9"/>
  <c r="D65" i="9"/>
  <c r="E65" i="9"/>
  <c r="C66" i="9"/>
  <c r="F65" i="9"/>
  <c r="G65" i="9" s="1"/>
  <c r="H64" i="9"/>
  <c r="J57" i="9" l="1"/>
  <c r="B56" i="9"/>
  <c r="I65" i="9"/>
  <c r="H65" i="9"/>
  <c r="F66" i="9"/>
  <c r="H66" i="9" s="1"/>
  <c r="D66" i="9"/>
  <c r="C67" i="9"/>
  <c r="E66" i="9"/>
  <c r="B57" i="9" l="1"/>
  <c r="J58" i="9"/>
  <c r="C68" i="9"/>
  <c r="D67" i="9"/>
  <c r="F67" i="9"/>
  <c r="G67" i="9" s="1"/>
  <c r="E67" i="9"/>
  <c r="I66" i="9"/>
  <c r="G66" i="9"/>
  <c r="J59" i="9" l="1"/>
  <c r="B58" i="9"/>
  <c r="H67" i="9"/>
  <c r="C69" i="9"/>
  <c r="D68" i="9"/>
  <c r="E68" i="9"/>
  <c r="F68" i="9"/>
  <c r="G68" i="9" s="1"/>
  <c r="I67" i="9"/>
  <c r="B59" i="9" l="1"/>
  <c r="J60" i="9"/>
  <c r="I68" i="9"/>
  <c r="H68" i="9"/>
  <c r="E69" i="9"/>
  <c r="D69" i="9"/>
  <c r="F69" i="9"/>
  <c r="H69" i="9" s="1"/>
  <c r="C70" i="9"/>
  <c r="B60" i="9" l="1"/>
  <c r="J61" i="9"/>
  <c r="I69" i="9"/>
  <c r="G69" i="9"/>
  <c r="D70" i="9"/>
  <c r="E70" i="9"/>
  <c r="C71" i="9"/>
  <c r="F70" i="9"/>
  <c r="H70" i="9" s="1"/>
  <c r="B61" i="9" l="1"/>
  <c r="J62" i="9"/>
  <c r="I70" i="9"/>
  <c r="D71" i="9"/>
  <c r="F71" i="9"/>
  <c r="G71" i="9" s="1"/>
  <c r="E71" i="9"/>
  <c r="C72" i="9"/>
  <c r="G70" i="9"/>
  <c r="J63" i="9" l="1"/>
  <c r="B62" i="9"/>
  <c r="E72" i="9"/>
  <c r="F72" i="9"/>
  <c r="G72" i="9" s="1"/>
  <c r="C73" i="9"/>
  <c r="D72" i="9"/>
  <c r="I71" i="9"/>
  <c r="H71" i="9"/>
  <c r="J64" i="9" l="1"/>
  <c r="B63" i="9"/>
  <c r="I72" i="9"/>
  <c r="D73" i="9"/>
  <c r="E73" i="9"/>
  <c r="C74" i="9"/>
  <c r="F73" i="9"/>
  <c r="H73" i="9" s="1"/>
  <c r="H72" i="9"/>
  <c r="B64" i="9" l="1"/>
  <c r="J65" i="9"/>
  <c r="D74" i="9"/>
  <c r="E74" i="9"/>
  <c r="F74" i="9"/>
  <c r="H74" i="9" s="1"/>
  <c r="C75" i="9"/>
  <c r="G73" i="9"/>
  <c r="I73" i="9"/>
  <c r="J66" i="9" l="1"/>
  <c r="B65" i="9"/>
  <c r="F75" i="9"/>
  <c r="G75" i="9" s="1"/>
  <c r="E75" i="9"/>
  <c r="C76" i="9"/>
  <c r="D75" i="9"/>
  <c r="G74" i="9"/>
  <c r="I74" i="9"/>
  <c r="J67" i="9" l="1"/>
  <c r="B66" i="9"/>
  <c r="D76" i="9"/>
  <c r="E76" i="9"/>
  <c r="C77" i="9"/>
  <c r="F76" i="9"/>
  <c r="G76" i="9" s="1"/>
  <c r="I75" i="9"/>
  <c r="H75" i="9"/>
  <c r="B67" i="9" l="1"/>
  <c r="J68" i="9"/>
  <c r="F77" i="9"/>
  <c r="H77" i="9" s="1"/>
  <c r="D77" i="9"/>
  <c r="E77" i="9"/>
  <c r="C78" i="9"/>
  <c r="I76" i="9"/>
  <c r="H76" i="9"/>
  <c r="B68" i="9" l="1"/>
  <c r="J69" i="9"/>
  <c r="G77" i="9"/>
  <c r="E78" i="9"/>
  <c r="F78" i="9"/>
  <c r="G78" i="9" s="1"/>
  <c r="C79" i="9"/>
  <c r="D78" i="9"/>
  <c r="I77" i="9"/>
  <c r="B69" i="9" l="1"/>
  <c r="J70" i="9"/>
  <c r="I78" i="9"/>
  <c r="C80" i="9"/>
  <c r="D79" i="9"/>
  <c r="F79" i="9"/>
  <c r="H79" i="9" s="1"/>
  <c r="E79" i="9"/>
  <c r="H78" i="9"/>
  <c r="J71" i="9" l="1"/>
  <c r="B70" i="9"/>
  <c r="I79" i="9"/>
  <c r="G79" i="9"/>
  <c r="F80" i="9"/>
  <c r="H80" i="9" s="1"/>
  <c r="D80" i="9"/>
  <c r="E80" i="9"/>
  <c r="C81" i="9"/>
  <c r="B71" i="9" l="1"/>
  <c r="J72" i="9"/>
  <c r="I80" i="9"/>
  <c r="G80" i="9"/>
  <c r="C82" i="9"/>
  <c r="D81" i="9"/>
  <c r="F81" i="9"/>
  <c r="H81" i="9" s="1"/>
  <c r="E81" i="9"/>
  <c r="J73" i="9" l="1"/>
  <c r="B72" i="9"/>
  <c r="I81" i="9"/>
  <c r="F82" i="9"/>
  <c r="G82" i="9" s="1"/>
  <c r="C83" i="9"/>
  <c r="D82" i="9"/>
  <c r="E82" i="9"/>
  <c r="G81" i="9"/>
  <c r="B73" i="9" l="1"/>
  <c r="J74" i="9"/>
  <c r="I82" i="9"/>
  <c r="H82" i="9"/>
  <c r="F83" i="9"/>
  <c r="G83" i="9" s="1"/>
  <c r="C84" i="9"/>
  <c r="D83" i="9"/>
  <c r="E83" i="9"/>
  <c r="B74" i="9" l="1"/>
  <c r="J75" i="9"/>
  <c r="I83" i="9"/>
  <c r="H83" i="9"/>
  <c r="D84" i="9"/>
  <c r="F84" i="9"/>
  <c r="H84" i="9" s="1"/>
  <c r="E84" i="9"/>
  <c r="C85" i="9"/>
  <c r="B75" i="9" l="1"/>
  <c r="J76" i="9"/>
  <c r="I84" i="9"/>
  <c r="G84" i="9"/>
  <c r="C86" i="9"/>
  <c r="D85" i="9"/>
  <c r="F85" i="9"/>
  <c r="G85" i="9" s="1"/>
  <c r="E85" i="9"/>
  <c r="B76" i="9" l="1"/>
  <c r="J77" i="9"/>
  <c r="I85" i="9"/>
  <c r="H85" i="9"/>
  <c r="F86" i="9"/>
  <c r="G86" i="9" s="1"/>
  <c r="C87" i="9"/>
  <c r="D86" i="9"/>
  <c r="E86" i="9"/>
  <c r="B77" i="9" l="1"/>
  <c r="J78" i="9"/>
  <c r="I86" i="9"/>
  <c r="D87" i="9"/>
  <c r="F87" i="9"/>
  <c r="G87" i="9" s="1"/>
  <c r="E87" i="9"/>
  <c r="C88" i="9"/>
  <c r="H86" i="9"/>
  <c r="J79" i="9" l="1"/>
  <c r="B78" i="9"/>
  <c r="D88" i="9"/>
  <c r="F88" i="9"/>
  <c r="E88" i="9"/>
  <c r="C89" i="9"/>
  <c r="I87" i="9"/>
  <c r="H87" i="9"/>
  <c r="J80" i="9" l="1"/>
  <c r="B79" i="9"/>
  <c r="I88" i="9"/>
  <c r="H88" i="9"/>
  <c r="D89" i="9"/>
  <c r="F89" i="9"/>
  <c r="G89" i="9" s="1"/>
  <c r="E89" i="9"/>
  <c r="C90" i="9"/>
  <c r="G88" i="9"/>
  <c r="B80" i="9" l="1"/>
  <c r="J81" i="9"/>
  <c r="I89" i="9"/>
  <c r="E90" i="9"/>
  <c r="F90" i="9"/>
  <c r="H90" i="9" s="1"/>
  <c r="D90" i="9"/>
  <c r="C91" i="9"/>
  <c r="H89" i="9"/>
  <c r="B81" i="9" l="1"/>
  <c r="J82" i="9"/>
  <c r="I90" i="9"/>
  <c r="G90" i="9"/>
  <c r="C92" i="9"/>
  <c r="D91" i="9"/>
  <c r="E91" i="9"/>
  <c r="F91" i="9"/>
  <c r="G91" i="9" s="1"/>
  <c r="J83" i="9" l="1"/>
  <c r="B82" i="9"/>
  <c r="I91" i="9"/>
  <c r="H91" i="9"/>
  <c r="C93" i="9"/>
  <c r="D92" i="9"/>
  <c r="F92" i="9"/>
  <c r="G92" i="9" s="1"/>
  <c r="E92" i="9"/>
  <c r="B83" i="9" l="1"/>
  <c r="J84" i="9"/>
  <c r="I92" i="9"/>
  <c r="H92" i="9"/>
  <c r="D93" i="9"/>
  <c r="E93" i="9"/>
  <c r="C94" i="9"/>
  <c r="F93" i="9"/>
  <c r="G93" i="9" s="1"/>
  <c r="B84" i="9" l="1"/>
  <c r="J85" i="9"/>
  <c r="C95" i="9"/>
  <c r="D94" i="9"/>
  <c r="F94" i="9"/>
  <c r="H94" i="9" s="1"/>
  <c r="E94" i="9"/>
  <c r="I93" i="9"/>
  <c r="H93" i="9"/>
  <c r="J86" i="9" l="1"/>
  <c r="B85" i="9"/>
  <c r="I94" i="9"/>
  <c r="G94" i="9"/>
  <c r="E95" i="9"/>
  <c r="C96" i="9"/>
  <c r="F95" i="9"/>
  <c r="H95" i="9" s="1"/>
  <c r="D95" i="9"/>
  <c r="J87" i="9" l="1"/>
  <c r="B86" i="9"/>
  <c r="I95" i="9"/>
  <c r="G95" i="9"/>
  <c r="D96" i="9"/>
  <c r="C97" i="9"/>
  <c r="E96" i="9"/>
  <c r="F96" i="9"/>
  <c r="B87" i="9" l="1"/>
  <c r="J88" i="9"/>
  <c r="I96" i="9"/>
  <c r="G96" i="9"/>
  <c r="C98" i="9"/>
  <c r="E97" i="9"/>
  <c r="D97" i="9"/>
  <c r="F97" i="9"/>
  <c r="G97" i="9" s="1"/>
  <c r="H96" i="9"/>
  <c r="B88" i="9" l="1"/>
  <c r="J89" i="9"/>
  <c r="I97" i="9"/>
  <c r="H97" i="9"/>
  <c r="C99" i="9"/>
  <c r="D98" i="9"/>
  <c r="E98" i="9"/>
  <c r="F98" i="9"/>
  <c r="H98" i="9" s="1"/>
  <c r="B89" i="9" l="1"/>
  <c r="J90" i="9"/>
  <c r="I98" i="9"/>
  <c r="G98" i="9"/>
  <c r="C100" i="9"/>
  <c r="F99" i="9"/>
  <c r="G99" i="9" s="1"/>
  <c r="E99" i="9"/>
  <c r="D99" i="9"/>
  <c r="B90" i="9" l="1"/>
  <c r="J91" i="9"/>
  <c r="I99" i="9"/>
  <c r="H99" i="9"/>
  <c r="F100" i="9"/>
  <c r="H100" i="9" s="1"/>
  <c r="E100" i="9"/>
  <c r="C101" i="9"/>
  <c r="D100" i="9"/>
  <c r="B91" i="9" l="1"/>
  <c r="J92" i="9"/>
  <c r="F101" i="9"/>
  <c r="G101" i="9" s="1"/>
  <c r="E101" i="9"/>
  <c r="C102" i="9"/>
  <c r="D101" i="9"/>
  <c r="I100" i="9"/>
  <c r="G100" i="9"/>
  <c r="J93" i="9" l="1"/>
  <c r="B92" i="9"/>
  <c r="I101" i="9"/>
  <c r="D102" i="9"/>
  <c r="E102" i="9"/>
  <c r="F102" i="9"/>
  <c r="C103" i="9"/>
  <c r="H101" i="9"/>
  <c r="I102" i="9" l="1"/>
  <c r="B93" i="9"/>
  <c r="J94" i="9"/>
  <c r="C104" i="9"/>
  <c r="D103" i="9"/>
  <c r="F103" i="9"/>
  <c r="G103" i="9" s="1"/>
  <c r="E103" i="9"/>
  <c r="H102" i="9"/>
  <c r="G102" i="9"/>
  <c r="B94" i="9" l="1"/>
  <c r="J95" i="9"/>
  <c r="I103" i="9"/>
  <c r="H103" i="9"/>
  <c r="E104" i="9"/>
  <c r="F104" i="9"/>
  <c r="C105" i="9"/>
  <c r="D104" i="9"/>
  <c r="J96" i="9" l="1"/>
  <c r="B95" i="9"/>
  <c r="I104" i="9"/>
  <c r="E105" i="9"/>
  <c r="F105" i="9"/>
  <c r="G105" i="9" s="1"/>
  <c r="C106" i="9"/>
  <c r="D105" i="9"/>
  <c r="H104" i="9"/>
  <c r="G104" i="9"/>
  <c r="B96" i="9" l="1"/>
  <c r="J97" i="9"/>
  <c r="I105" i="9"/>
  <c r="E106" i="9"/>
  <c r="C107" i="9"/>
  <c r="F106" i="9"/>
  <c r="G106" i="9" s="1"/>
  <c r="D106" i="9"/>
  <c r="H105" i="9"/>
  <c r="B97" i="9" l="1"/>
  <c r="J98" i="9"/>
  <c r="I106" i="9"/>
  <c r="E107" i="9"/>
  <c r="C108" i="9"/>
  <c r="D107" i="9"/>
  <c r="F107" i="9"/>
  <c r="G107" i="9" s="1"/>
  <c r="H106" i="9"/>
  <c r="B98" i="9" l="1"/>
  <c r="J99" i="9"/>
  <c r="I107" i="9"/>
  <c r="F108" i="9"/>
  <c r="H108" i="9" s="1"/>
  <c r="E108" i="9"/>
  <c r="C109" i="9"/>
  <c r="D108" i="9"/>
  <c r="H107" i="9"/>
  <c r="B99" i="9" l="1"/>
  <c r="J100" i="9"/>
  <c r="I108" i="9"/>
  <c r="F109" i="9"/>
  <c r="G109" i="9" s="1"/>
  <c r="D109" i="9"/>
  <c r="C110" i="9"/>
  <c r="E109" i="9"/>
  <c r="G108" i="9"/>
  <c r="B100" i="9" l="1"/>
  <c r="J101" i="9"/>
  <c r="H109" i="9"/>
  <c r="F110" i="9"/>
  <c r="H110" i="9" s="1"/>
  <c r="D110" i="9"/>
  <c r="E110" i="9"/>
  <c r="C111" i="9"/>
  <c r="I109" i="9"/>
  <c r="B101" i="9" l="1"/>
  <c r="J102" i="9"/>
  <c r="I110" i="9"/>
  <c r="G110" i="9"/>
  <c r="D111" i="9"/>
  <c r="F111" i="9"/>
  <c r="E111" i="9"/>
  <c r="C112" i="9"/>
  <c r="I111" i="9" l="1"/>
  <c r="B102" i="9"/>
  <c r="J103" i="9"/>
  <c r="H111" i="9"/>
  <c r="G111" i="9"/>
  <c r="C113" i="9"/>
  <c r="D112" i="9"/>
  <c r="E112" i="9"/>
  <c r="F112" i="9"/>
  <c r="H112" i="9" s="1"/>
  <c r="B103" i="9" l="1"/>
  <c r="J104" i="9"/>
  <c r="I112" i="9"/>
  <c r="G112" i="9"/>
  <c r="C114" i="9"/>
  <c r="F113" i="9"/>
  <c r="H113" i="9" s="1"/>
  <c r="D113" i="9"/>
  <c r="E113" i="9"/>
  <c r="B104" i="9" l="1"/>
  <c r="J105" i="9"/>
  <c r="I113" i="9"/>
  <c r="G113" i="9"/>
  <c r="C115" i="9"/>
  <c r="F114" i="9"/>
  <c r="G114" i="9" s="1"/>
  <c r="D114" i="9"/>
  <c r="E114" i="9"/>
  <c r="B105" i="9" l="1"/>
  <c r="J106" i="9"/>
  <c r="I114" i="9"/>
  <c r="H114" i="9"/>
  <c r="D115" i="9"/>
  <c r="F115" i="9"/>
  <c r="G115" i="9" s="1"/>
  <c r="E115" i="9"/>
  <c r="C116" i="9"/>
  <c r="B106" i="9" l="1"/>
  <c r="J107" i="9"/>
  <c r="I115" i="9"/>
  <c r="H115" i="9"/>
  <c r="C117" i="9"/>
  <c r="D116" i="9"/>
  <c r="F116" i="9"/>
  <c r="G116" i="9" s="1"/>
  <c r="E116" i="9"/>
  <c r="B107" i="9" l="1"/>
  <c r="J108" i="9"/>
  <c r="I116" i="9"/>
  <c r="H116" i="9"/>
  <c r="F117" i="9"/>
  <c r="H117" i="9" s="1"/>
  <c r="E117" i="9"/>
  <c r="D117" i="9"/>
  <c r="C118" i="9"/>
  <c r="B108" i="9" l="1"/>
  <c r="J109" i="9"/>
  <c r="I117" i="9"/>
  <c r="G117" i="9"/>
  <c r="C119" i="9"/>
  <c r="D118" i="9"/>
  <c r="F118" i="9"/>
  <c r="H118" i="9" s="1"/>
  <c r="E118" i="9"/>
  <c r="B109" i="9" l="1"/>
  <c r="J110" i="9"/>
  <c r="I118" i="9"/>
  <c r="G118" i="9"/>
  <c r="C120" i="9"/>
  <c r="D119" i="9"/>
  <c r="E119" i="9"/>
  <c r="F119" i="9"/>
  <c r="G119" i="9" s="1"/>
  <c r="B110" i="9" l="1"/>
  <c r="J111" i="9"/>
  <c r="I119" i="9"/>
  <c r="H119" i="9"/>
  <c r="E120" i="9"/>
  <c r="F120" i="9"/>
  <c r="D120" i="9"/>
  <c r="C121" i="9"/>
  <c r="B111" i="9" l="1"/>
  <c r="J112" i="9"/>
  <c r="I120" i="9"/>
  <c r="G120" i="9"/>
  <c r="H120" i="9"/>
  <c r="C122" i="9"/>
  <c r="D121" i="9"/>
  <c r="F121" i="9"/>
  <c r="G121" i="9" s="1"/>
  <c r="E121" i="9"/>
  <c r="B112" i="9" l="1"/>
  <c r="J113" i="9"/>
  <c r="I121" i="9"/>
  <c r="H121" i="9"/>
  <c r="E122" i="9"/>
  <c r="F122" i="9"/>
  <c r="G122" i="9" s="1"/>
  <c r="C123" i="9"/>
  <c r="D122" i="9"/>
  <c r="B113" i="9" l="1"/>
  <c r="J114" i="9"/>
  <c r="H122" i="9"/>
  <c r="I122" i="9"/>
  <c r="D123" i="9"/>
  <c r="F123" i="9"/>
  <c r="G123" i="9" s="1"/>
  <c r="E123" i="9"/>
  <c r="C124" i="9"/>
  <c r="B114" i="9" l="1"/>
  <c r="J115" i="9"/>
  <c r="I123" i="9"/>
  <c r="H123" i="9"/>
  <c r="F124" i="9"/>
  <c r="E124" i="9"/>
  <c r="C125" i="9"/>
  <c r="D124" i="9"/>
  <c r="B115" i="9" l="1"/>
  <c r="J116" i="9"/>
  <c r="I124" i="9"/>
  <c r="G124" i="9"/>
  <c r="C126" i="9"/>
  <c r="F125" i="9"/>
  <c r="H125" i="9" s="1"/>
  <c r="E125" i="9"/>
  <c r="D125" i="9"/>
  <c r="H124" i="9"/>
  <c r="B116" i="9" l="1"/>
  <c r="J117" i="9"/>
  <c r="I125" i="9"/>
  <c r="C127" i="9"/>
  <c r="F126" i="9"/>
  <c r="H126" i="9" s="1"/>
  <c r="D126" i="9"/>
  <c r="E126" i="9"/>
  <c r="G125" i="9"/>
  <c r="B117" i="9" l="1"/>
  <c r="J118" i="9"/>
  <c r="I126" i="9"/>
  <c r="G126" i="9"/>
  <c r="D127" i="9"/>
  <c r="F127" i="9"/>
  <c r="H127" i="9" s="1"/>
  <c r="E127" i="9"/>
  <c r="C128" i="9"/>
  <c r="J119" i="9" l="1"/>
  <c r="B118" i="9"/>
  <c r="I127" i="9"/>
  <c r="G127" i="9"/>
  <c r="F128" i="9"/>
  <c r="G128" i="9" s="1"/>
  <c r="C129" i="9"/>
  <c r="D128" i="9"/>
  <c r="E128" i="9"/>
  <c r="B119" i="9" l="1"/>
  <c r="J120" i="9"/>
  <c r="I128" i="9"/>
  <c r="C130" i="9"/>
  <c r="D129" i="9"/>
  <c r="F129" i="9"/>
  <c r="H129" i="9" s="1"/>
  <c r="E129" i="9"/>
  <c r="H128" i="9"/>
  <c r="J121" i="9" l="1"/>
  <c r="B120" i="9"/>
  <c r="I129" i="9"/>
  <c r="G129" i="9"/>
  <c r="F130" i="9"/>
  <c r="D130" i="9"/>
  <c r="E130" i="9"/>
  <c r="C131" i="9"/>
  <c r="J122" i="9" l="1"/>
  <c r="B121" i="9"/>
  <c r="I130" i="9"/>
  <c r="G130" i="9"/>
  <c r="H130" i="9"/>
  <c r="C132" i="9"/>
  <c r="F131" i="9"/>
  <c r="G131" i="9" s="1"/>
  <c r="E131" i="9"/>
  <c r="D131" i="9"/>
  <c r="B122" i="9" l="1"/>
  <c r="J123" i="9"/>
  <c r="H131" i="9"/>
  <c r="F132" i="9"/>
  <c r="G132" i="9" s="1"/>
  <c r="C133" i="9"/>
  <c r="D132" i="9"/>
  <c r="E132" i="9"/>
  <c r="I131" i="9"/>
  <c r="B123" i="9" l="1"/>
  <c r="J124" i="9"/>
  <c r="I132" i="9"/>
  <c r="H132" i="9"/>
  <c r="E133" i="9"/>
  <c r="D133" i="9"/>
  <c r="C134" i="9"/>
  <c r="F133" i="9"/>
  <c r="H133" i="9" s="1"/>
  <c r="J125" i="9" l="1"/>
  <c r="B124" i="9"/>
  <c r="I133" i="9"/>
  <c r="C135" i="9"/>
  <c r="F134" i="9"/>
  <c r="H134" i="9" s="1"/>
  <c r="E134" i="9"/>
  <c r="D134" i="9"/>
  <c r="G133" i="9"/>
  <c r="B125" i="9" l="1"/>
  <c r="J126" i="9"/>
  <c r="I134" i="9"/>
  <c r="G134" i="9"/>
  <c r="C136" i="9"/>
  <c r="D135" i="9"/>
  <c r="F135" i="9"/>
  <c r="H135" i="9" s="1"/>
  <c r="E135" i="9"/>
  <c r="J127" i="9" l="1"/>
  <c r="B126" i="9"/>
  <c r="I135" i="9"/>
  <c r="G135" i="9"/>
  <c r="D136" i="9"/>
  <c r="E136" i="9"/>
  <c r="F136" i="9"/>
  <c r="H136" i="9" s="1"/>
  <c r="C137" i="9"/>
  <c r="B127" i="9" l="1"/>
  <c r="J128" i="9"/>
  <c r="I136" i="9"/>
  <c r="G136" i="9"/>
  <c r="E137" i="9"/>
  <c r="C138" i="9"/>
  <c r="D137" i="9"/>
  <c r="F137" i="9"/>
  <c r="G137" i="9" s="1"/>
  <c r="B128" i="9" l="1"/>
  <c r="J129" i="9"/>
  <c r="I137" i="9"/>
  <c r="C139" i="9"/>
  <c r="F138" i="9"/>
  <c r="H138" i="9" s="1"/>
  <c r="D138" i="9"/>
  <c r="E138" i="9"/>
  <c r="H137" i="9"/>
  <c r="B129" i="9" l="1"/>
  <c r="J130" i="9"/>
  <c r="I138" i="9"/>
  <c r="G138" i="9"/>
  <c r="C140" i="9"/>
  <c r="D139" i="9"/>
  <c r="F139" i="9"/>
  <c r="H139" i="9" s="1"/>
  <c r="E139" i="9"/>
  <c r="J131" i="9" l="1"/>
  <c r="B130" i="9"/>
  <c r="I139" i="9"/>
  <c r="C141" i="9"/>
  <c r="D140" i="9"/>
  <c r="F140" i="9"/>
  <c r="G140" i="9" s="1"/>
  <c r="E140" i="9"/>
  <c r="G139" i="9"/>
  <c r="B131" i="9" l="1"/>
  <c r="J132" i="9"/>
  <c r="I140" i="9"/>
  <c r="H140" i="9"/>
  <c r="C142" i="9"/>
  <c r="F141" i="9"/>
  <c r="H141" i="9" s="1"/>
  <c r="E141" i="9"/>
  <c r="D141" i="9"/>
  <c r="B132" i="9" l="1"/>
  <c r="J133" i="9"/>
  <c r="I141" i="9"/>
  <c r="D142" i="9"/>
  <c r="E142" i="9"/>
  <c r="C143" i="9"/>
  <c r="F142" i="9"/>
  <c r="G142" i="9" s="1"/>
  <c r="G141" i="9"/>
  <c r="B133" i="9" l="1"/>
  <c r="J134" i="9"/>
  <c r="C144" i="9"/>
  <c r="D143" i="9"/>
  <c r="F143" i="9"/>
  <c r="H143" i="9" s="1"/>
  <c r="E143" i="9"/>
  <c r="H142" i="9"/>
  <c r="I142" i="9"/>
  <c r="B134" i="9" l="1"/>
  <c r="J135" i="9"/>
  <c r="I143" i="9"/>
  <c r="G143" i="9"/>
  <c r="D144" i="9"/>
  <c r="E144" i="9"/>
  <c r="F144" i="9"/>
  <c r="G144" i="9" s="1"/>
  <c r="C145" i="9"/>
  <c r="J136" i="9" l="1"/>
  <c r="B135" i="9"/>
  <c r="H144" i="9"/>
  <c r="I144" i="9"/>
  <c r="F145" i="9"/>
  <c r="G145" i="9" s="1"/>
  <c r="C146" i="9"/>
  <c r="E145" i="9"/>
  <c r="D145" i="9"/>
  <c r="B136" i="9" l="1"/>
  <c r="J137" i="9"/>
  <c r="H145" i="9"/>
  <c r="F146" i="9"/>
  <c r="G146" i="9" s="1"/>
  <c r="D146" i="9"/>
  <c r="E146" i="9"/>
  <c r="C147" i="9"/>
  <c r="I145" i="9"/>
  <c r="J138" i="9" l="1"/>
  <c r="B137" i="9"/>
  <c r="H146" i="9"/>
  <c r="I146" i="9"/>
  <c r="E147" i="9"/>
  <c r="C148" i="9"/>
  <c r="D147" i="9"/>
  <c r="F147" i="9"/>
  <c r="H147" i="9" s="1"/>
  <c r="B138" i="9" l="1"/>
  <c r="J139" i="9"/>
  <c r="G147" i="9"/>
  <c r="F148" i="9"/>
  <c r="I148" i="9" s="1"/>
  <c r="C149" i="9"/>
  <c r="E148" i="9"/>
  <c r="D148" i="9"/>
  <c r="I147" i="9"/>
  <c r="B139" i="9" l="1"/>
  <c r="J140" i="9"/>
  <c r="H148" i="9"/>
  <c r="C150" i="9"/>
  <c r="F149" i="9"/>
  <c r="G149" i="9" s="1"/>
  <c r="E149" i="9"/>
  <c r="D149" i="9"/>
  <c r="G148" i="9"/>
  <c r="B140" i="9" l="1"/>
  <c r="J141" i="9"/>
  <c r="I149" i="9"/>
  <c r="H149" i="9"/>
  <c r="F150" i="9"/>
  <c r="H150" i="9" s="1"/>
  <c r="D150" i="9"/>
  <c r="E150" i="9"/>
  <c r="C151" i="9"/>
  <c r="J142" i="9" l="1"/>
  <c r="B141" i="9"/>
  <c r="G150" i="9"/>
  <c r="I150" i="9"/>
  <c r="E151" i="9"/>
  <c r="F151" i="9"/>
  <c r="G151" i="9" s="1"/>
  <c r="C152" i="9"/>
  <c r="D151" i="9"/>
  <c r="J143" i="9" l="1"/>
  <c r="B142" i="9"/>
  <c r="I151" i="9"/>
  <c r="H151" i="9"/>
  <c r="F152" i="9"/>
  <c r="G152" i="9" s="1"/>
  <c r="C153" i="9"/>
  <c r="E152" i="9"/>
  <c r="D152" i="9"/>
  <c r="B143" i="9" l="1"/>
  <c r="J144" i="9"/>
  <c r="I152" i="9"/>
  <c r="H152" i="9"/>
  <c r="D153" i="9"/>
  <c r="E153" i="9"/>
  <c r="C154" i="9"/>
  <c r="F153" i="9"/>
  <c r="G153" i="9" s="1"/>
  <c r="J145" i="9" l="1"/>
  <c r="B144" i="9"/>
  <c r="C155" i="9"/>
  <c r="F154" i="9"/>
  <c r="H154" i="9" s="1"/>
  <c r="D154" i="9"/>
  <c r="E154" i="9"/>
  <c r="H153" i="9"/>
  <c r="I153" i="9"/>
  <c r="B145" i="9" l="1"/>
  <c r="J146" i="9"/>
  <c r="I154" i="9"/>
  <c r="G154" i="9"/>
  <c r="C156" i="9"/>
  <c r="F155" i="9"/>
  <c r="H155" i="9" s="1"/>
  <c r="E155" i="9"/>
  <c r="D155" i="9"/>
  <c r="B146" i="9" l="1"/>
  <c r="J147" i="9"/>
  <c r="I155" i="9"/>
  <c r="G155" i="9"/>
  <c r="C157" i="9"/>
  <c r="D156" i="9"/>
  <c r="F156" i="9"/>
  <c r="G156" i="9" s="1"/>
  <c r="E156" i="9"/>
  <c r="B147" i="9" l="1"/>
  <c r="J148" i="9"/>
  <c r="I156" i="9"/>
  <c r="C158" i="9"/>
  <c r="F157" i="9"/>
  <c r="G157" i="9" s="1"/>
  <c r="E157" i="9"/>
  <c r="D157" i="9"/>
  <c r="H156" i="9"/>
  <c r="B148" i="9" l="1"/>
  <c r="J149" i="9"/>
  <c r="I157" i="9"/>
  <c r="H157" i="9"/>
  <c r="E158" i="9"/>
  <c r="F158" i="9"/>
  <c r="H158" i="9" s="1"/>
  <c r="D158" i="9"/>
  <c r="C159" i="9"/>
  <c r="J150" i="9" l="1"/>
  <c r="B149" i="9"/>
  <c r="I158" i="9"/>
  <c r="G158" i="9"/>
  <c r="F159" i="9"/>
  <c r="H159" i="9" s="1"/>
  <c r="C160" i="9"/>
  <c r="D159" i="9"/>
  <c r="E159" i="9"/>
  <c r="B150" i="9" l="1"/>
  <c r="J151" i="9"/>
  <c r="I159" i="9"/>
  <c r="G159" i="9"/>
  <c r="C161" i="9"/>
  <c r="D160" i="9"/>
  <c r="F160" i="9"/>
  <c r="G160" i="9" s="1"/>
  <c r="E160" i="9"/>
  <c r="J152" i="9" l="1"/>
  <c r="B151" i="9"/>
  <c r="I160" i="9"/>
  <c r="H160" i="9"/>
  <c r="D161" i="9"/>
  <c r="E161" i="9"/>
  <c r="C162" i="9"/>
  <c r="F161" i="9"/>
  <c r="G161" i="9" s="1"/>
  <c r="B152" i="9" l="1"/>
  <c r="J153" i="9"/>
  <c r="I161" i="9"/>
  <c r="H161" i="9"/>
  <c r="E162" i="9"/>
  <c r="C163" i="9"/>
  <c r="D162" i="9"/>
  <c r="F162" i="9"/>
  <c r="H162" i="9" s="1"/>
  <c r="B153" i="9" l="1"/>
  <c r="J154" i="9"/>
  <c r="G162" i="9"/>
  <c r="C164" i="9"/>
  <c r="D163" i="9"/>
  <c r="F163" i="9"/>
  <c r="H163" i="9" s="1"/>
  <c r="E163" i="9"/>
  <c r="I162" i="9"/>
  <c r="B154" i="9" l="1"/>
  <c r="J155" i="9"/>
  <c r="I163" i="9"/>
  <c r="G163" i="9"/>
  <c r="D164" i="9"/>
  <c r="F164" i="9"/>
  <c r="G164" i="9" s="1"/>
  <c r="E164" i="9"/>
  <c r="C165" i="9"/>
  <c r="B155" i="9" l="1"/>
  <c r="J156" i="9"/>
  <c r="I164" i="9"/>
  <c r="H164" i="9"/>
  <c r="F165" i="9"/>
  <c r="G165" i="9" s="1"/>
  <c r="E165" i="9"/>
  <c r="D165" i="9"/>
  <c r="C166" i="9"/>
  <c r="B156" i="9" l="1"/>
  <c r="J157" i="9"/>
  <c r="I165" i="9"/>
  <c r="H165" i="9"/>
  <c r="F166" i="9"/>
  <c r="G166" i="9" s="1"/>
  <c r="D166" i="9"/>
  <c r="E166" i="9"/>
  <c r="C167" i="9"/>
  <c r="J158" i="9" l="1"/>
  <c r="B157" i="9"/>
  <c r="I166" i="9"/>
  <c r="H166" i="9"/>
  <c r="D167" i="9"/>
  <c r="F167" i="9"/>
  <c r="H167" i="9" s="1"/>
  <c r="E167" i="9"/>
  <c r="C168" i="9"/>
  <c r="J159" i="9" l="1"/>
  <c r="B158" i="9"/>
  <c r="I167" i="9"/>
  <c r="G167" i="9"/>
  <c r="D168" i="9"/>
  <c r="E168" i="9"/>
  <c r="F168" i="9"/>
  <c r="H168" i="9" s="1"/>
  <c r="C169" i="9"/>
  <c r="B159" i="9" l="1"/>
  <c r="J160" i="9"/>
  <c r="G168" i="9"/>
  <c r="I168" i="9"/>
  <c r="D169" i="9"/>
  <c r="E169" i="9"/>
  <c r="C170" i="9"/>
  <c r="F169" i="9"/>
  <c r="G169" i="9" s="1"/>
  <c r="B160" i="9" l="1"/>
  <c r="J161" i="9"/>
  <c r="H169" i="9"/>
  <c r="I169" i="9"/>
  <c r="C171" i="9"/>
  <c r="D170" i="9"/>
  <c r="F170" i="9"/>
  <c r="G170" i="9" s="1"/>
  <c r="E170" i="9"/>
  <c r="B161" i="9" l="1"/>
  <c r="J162" i="9"/>
  <c r="H170" i="9"/>
  <c r="I170" i="9"/>
  <c r="C172" i="9"/>
  <c r="D171" i="9"/>
  <c r="E171" i="9"/>
  <c r="F171" i="9"/>
  <c r="H171" i="9" s="1"/>
  <c r="B162" i="9" l="1"/>
  <c r="J163" i="9"/>
  <c r="I171" i="9"/>
  <c r="G171" i="9"/>
  <c r="C173" i="9"/>
  <c r="F172" i="9"/>
  <c r="G172" i="9" s="1"/>
  <c r="D172" i="9"/>
  <c r="E172" i="9"/>
  <c r="J164" i="9" l="1"/>
  <c r="B163" i="9"/>
  <c r="I172" i="9"/>
  <c r="H172" i="9"/>
  <c r="F173" i="9"/>
  <c r="H173" i="9" s="1"/>
  <c r="E173" i="9"/>
  <c r="C174" i="9"/>
  <c r="D173" i="9"/>
  <c r="B164" i="9" l="1"/>
  <c r="J165" i="9"/>
  <c r="C175" i="9"/>
  <c r="F174" i="9"/>
  <c r="G174" i="9" s="1"/>
  <c r="D174" i="9"/>
  <c r="E174" i="9"/>
  <c r="G173" i="9"/>
  <c r="I173" i="9"/>
  <c r="B165" i="9" l="1"/>
  <c r="J166" i="9"/>
  <c r="I174" i="9"/>
  <c r="H174" i="9"/>
  <c r="C176" i="9"/>
  <c r="D175" i="9"/>
  <c r="F175" i="9"/>
  <c r="E175" i="9"/>
  <c r="B166" i="9" l="1"/>
  <c r="J167" i="9"/>
  <c r="I175" i="9"/>
  <c r="G175" i="9"/>
  <c r="H175" i="9"/>
  <c r="D176" i="9"/>
  <c r="F176" i="9"/>
  <c r="H176" i="9" s="1"/>
  <c r="E176" i="9"/>
  <c r="C177" i="9"/>
  <c r="B167" i="9" l="1"/>
  <c r="J168" i="9"/>
  <c r="I176" i="9"/>
  <c r="G176" i="9"/>
  <c r="E177" i="9"/>
  <c r="D177" i="9"/>
  <c r="C178" i="9"/>
  <c r="F177" i="9"/>
  <c r="G177" i="9" s="1"/>
  <c r="B168" i="9" l="1"/>
  <c r="J169" i="9"/>
  <c r="H177" i="9"/>
  <c r="I177" i="9"/>
  <c r="C179" i="9"/>
  <c r="D178" i="9"/>
  <c r="F178" i="9"/>
  <c r="G178" i="9" s="1"/>
  <c r="E178" i="9"/>
  <c r="B169" i="9" l="1"/>
  <c r="J170" i="9"/>
  <c r="I178" i="9"/>
  <c r="H178" i="9"/>
  <c r="D179" i="9"/>
  <c r="F179" i="9"/>
  <c r="H179" i="9" s="1"/>
  <c r="C180" i="9"/>
  <c r="E179" i="9"/>
  <c r="B170" i="9" l="1"/>
  <c r="J171" i="9"/>
  <c r="I179" i="9"/>
  <c r="C181" i="9"/>
  <c r="F180" i="9"/>
  <c r="H180" i="9" s="1"/>
  <c r="E180" i="9"/>
  <c r="D180" i="9"/>
  <c r="G179" i="9"/>
  <c r="B171" i="9" l="1"/>
  <c r="J172" i="9"/>
  <c r="I180" i="9"/>
  <c r="G180" i="9"/>
  <c r="F181" i="9"/>
  <c r="H181" i="9" s="1"/>
  <c r="E181" i="9"/>
  <c r="C182" i="9"/>
  <c r="D181" i="9"/>
  <c r="J173" i="9" l="1"/>
  <c r="B172" i="9"/>
  <c r="C183" i="9"/>
  <c r="F182" i="9"/>
  <c r="H182" i="9" s="1"/>
  <c r="E182" i="9"/>
  <c r="D182" i="9"/>
  <c r="G181" i="9"/>
  <c r="I181" i="9"/>
  <c r="J174" i="9" l="1"/>
  <c r="B173" i="9"/>
  <c r="I182" i="9"/>
  <c r="G182" i="9"/>
  <c r="E183" i="9"/>
  <c r="C184" i="9"/>
  <c r="D183" i="9"/>
  <c r="F183" i="9"/>
  <c r="G183" i="9" s="1"/>
  <c r="B174" i="9" l="1"/>
  <c r="J175" i="9"/>
  <c r="I183" i="9"/>
  <c r="D184" i="9"/>
  <c r="E184" i="9"/>
  <c r="F184" i="9"/>
  <c r="G184" i="9" s="1"/>
  <c r="C185" i="9"/>
  <c r="H183" i="9"/>
  <c r="B175" i="9" l="1"/>
  <c r="J176" i="9"/>
  <c r="C186" i="9"/>
  <c r="F185" i="9"/>
  <c r="G185" i="9" s="1"/>
  <c r="D185" i="9"/>
  <c r="E185" i="9"/>
  <c r="H184" i="9"/>
  <c r="I184" i="9"/>
  <c r="B176" i="9" l="1"/>
  <c r="J177" i="9"/>
  <c r="I185" i="9"/>
  <c r="H185" i="9"/>
  <c r="D186" i="9"/>
  <c r="F186" i="9"/>
  <c r="G186" i="9" s="1"/>
  <c r="E186" i="9"/>
  <c r="C187" i="9"/>
  <c r="B177" i="9" l="1"/>
  <c r="J178" i="9"/>
  <c r="H186" i="9"/>
  <c r="I186" i="9"/>
  <c r="D187" i="9"/>
  <c r="F187" i="9"/>
  <c r="H187" i="9" s="1"/>
  <c r="E187" i="9"/>
  <c r="C188" i="9"/>
  <c r="B178" i="9" l="1"/>
  <c r="J179" i="9"/>
  <c r="I187" i="9"/>
  <c r="G187" i="9"/>
  <c r="D188" i="9"/>
  <c r="F188" i="9"/>
  <c r="H188" i="9" s="1"/>
  <c r="E188" i="9"/>
  <c r="C189" i="9"/>
  <c r="B179" i="9" l="1"/>
  <c r="J180" i="9"/>
  <c r="I188" i="9"/>
  <c r="G188" i="9"/>
  <c r="F189" i="9"/>
  <c r="G189" i="9" s="1"/>
  <c r="E189" i="9"/>
  <c r="D189" i="9"/>
  <c r="C190" i="9"/>
  <c r="B180" i="9" l="1"/>
  <c r="J181" i="9"/>
  <c r="I189" i="9"/>
  <c r="H189" i="9"/>
  <c r="C191" i="9"/>
  <c r="F190" i="9"/>
  <c r="G190" i="9" s="1"/>
  <c r="D190" i="9"/>
  <c r="E190" i="9"/>
  <c r="J182" i="9" l="1"/>
  <c r="B181" i="9"/>
  <c r="I190" i="9"/>
  <c r="C192" i="9"/>
  <c r="D191" i="9"/>
  <c r="F191" i="9"/>
  <c r="G191" i="9" s="1"/>
  <c r="E191" i="9"/>
  <c r="H190" i="9"/>
  <c r="B182" i="9" l="1"/>
  <c r="J183" i="9"/>
  <c r="I191" i="9"/>
  <c r="H191" i="9"/>
  <c r="F192" i="9"/>
  <c r="G192" i="9" s="1"/>
  <c r="E192" i="9"/>
  <c r="C193" i="9"/>
  <c r="D192" i="9"/>
  <c r="B183" i="9" l="1"/>
  <c r="J184" i="9"/>
  <c r="F193" i="9"/>
  <c r="G193" i="9" s="1"/>
  <c r="E193" i="9"/>
  <c r="D193" i="9"/>
  <c r="C194" i="9"/>
  <c r="I192" i="9"/>
  <c r="H192" i="9"/>
  <c r="J185" i="9" l="1"/>
  <c r="B184" i="9"/>
  <c r="I193" i="9"/>
  <c r="C195" i="9"/>
  <c r="D194" i="9"/>
  <c r="E194" i="9"/>
  <c r="F194" i="9"/>
  <c r="H194" i="9" s="1"/>
  <c r="H193" i="9"/>
  <c r="B185" i="9" l="1"/>
  <c r="J186" i="9"/>
  <c r="G194" i="9"/>
  <c r="I194" i="9"/>
  <c r="D195" i="9"/>
  <c r="F195" i="9"/>
  <c r="G195" i="9" s="1"/>
  <c r="E195" i="9"/>
  <c r="C196" i="9"/>
  <c r="B186" i="9" l="1"/>
  <c r="J187" i="9"/>
  <c r="H195" i="9"/>
  <c r="I195" i="9"/>
  <c r="C197" i="9"/>
  <c r="D196" i="9"/>
  <c r="E196" i="9"/>
  <c r="F196" i="9"/>
  <c r="H196" i="9" s="1"/>
  <c r="J188" i="9" l="1"/>
  <c r="B187" i="9"/>
  <c r="I196" i="9"/>
  <c r="G196" i="9"/>
  <c r="D197" i="9"/>
  <c r="E197" i="9"/>
  <c r="C198" i="9"/>
  <c r="F197" i="9"/>
  <c r="G197" i="9" s="1"/>
  <c r="B188" i="9" l="1"/>
  <c r="J189" i="9"/>
  <c r="C199" i="9"/>
  <c r="F198" i="9"/>
  <c r="G198" i="9" s="1"/>
  <c r="D198" i="9"/>
  <c r="E198" i="9"/>
  <c r="H197" i="9"/>
  <c r="I197" i="9"/>
  <c r="B189" i="9" l="1"/>
  <c r="J190" i="9"/>
  <c r="I198" i="9"/>
  <c r="H198" i="9"/>
  <c r="D199" i="9"/>
  <c r="F199" i="9"/>
  <c r="H199" i="9" s="1"/>
  <c r="E199" i="9"/>
  <c r="C200" i="9"/>
  <c r="J191" i="9" l="1"/>
  <c r="B190" i="9"/>
  <c r="G199" i="9"/>
  <c r="I199" i="9"/>
  <c r="D200" i="9"/>
  <c r="F200" i="9"/>
  <c r="H200" i="9" s="1"/>
  <c r="E200" i="9"/>
  <c r="C201" i="9"/>
  <c r="B191" i="9" l="1"/>
  <c r="J192" i="9"/>
  <c r="I200" i="9"/>
  <c r="G200" i="9"/>
  <c r="F201" i="9"/>
  <c r="H201" i="9" s="1"/>
  <c r="E201" i="9"/>
  <c r="C202" i="9"/>
  <c r="D201" i="9"/>
  <c r="B192" i="9" l="1"/>
  <c r="J193" i="9"/>
  <c r="I201" i="9"/>
  <c r="C203" i="9"/>
  <c r="E202" i="9"/>
  <c r="D202" i="9"/>
  <c r="F202" i="9"/>
  <c r="G202" i="9" s="1"/>
  <c r="G201" i="9"/>
  <c r="J194" i="9" l="1"/>
  <c r="B193" i="9"/>
  <c r="I202" i="9"/>
  <c r="H202" i="9"/>
  <c r="E203" i="9"/>
  <c r="C204" i="9"/>
  <c r="D203" i="9"/>
  <c r="F203" i="9"/>
  <c r="H203" i="9" s="1"/>
  <c r="B194" i="9" l="1"/>
  <c r="J195" i="9"/>
  <c r="I203" i="9"/>
  <c r="G203" i="9"/>
  <c r="D204" i="9"/>
  <c r="F204" i="9"/>
  <c r="H204" i="9" s="1"/>
  <c r="E204" i="9"/>
  <c r="C205" i="9"/>
  <c r="B195" i="9" l="1"/>
  <c r="J196" i="9"/>
  <c r="I204" i="9"/>
  <c r="G204" i="9"/>
  <c r="C206" i="9"/>
  <c r="F205" i="9"/>
  <c r="G205" i="9" s="1"/>
  <c r="E205" i="9"/>
  <c r="D205" i="9"/>
  <c r="B196" i="9" l="1"/>
  <c r="J197" i="9"/>
  <c r="I205" i="9"/>
  <c r="H205" i="9"/>
  <c r="F206" i="9"/>
  <c r="G206" i="9" s="1"/>
  <c r="E206" i="9"/>
  <c r="C207" i="9"/>
  <c r="D206" i="9"/>
  <c r="B197" i="9" l="1"/>
  <c r="J198" i="9"/>
  <c r="H206" i="9"/>
  <c r="I206" i="9"/>
  <c r="C208" i="9"/>
  <c r="D207" i="9"/>
  <c r="F207" i="9"/>
  <c r="G207" i="9" s="1"/>
  <c r="E207" i="9"/>
  <c r="J199" i="9" l="1"/>
  <c r="B198" i="9"/>
  <c r="I207" i="9"/>
  <c r="H207" i="9"/>
  <c r="D208" i="9"/>
  <c r="E208" i="9"/>
  <c r="C209" i="9"/>
  <c r="F208" i="9"/>
  <c r="G208" i="9" s="1"/>
  <c r="B199" i="9" l="1"/>
  <c r="J200" i="9"/>
  <c r="C210" i="9"/>
  <c r="F209" i="9"/>
  <c r="H209" i="9" s="1"/>
  <c r="E209" i="9"/>
  <c r="D209" i="9"/>
  <c r="H208" i="9"/>
  <c r="I208" i="9"/>
  <c r="B200" i="9" l="1"/>
  <c r="J201" i="9"/>
  <c r="I209" i="9"/>
  <c r="G209" i="9"/>
  <c r="F210" i="9"/>
  <c r="G210" i="9" s="1"/>
  <c r="E210" i="9"/>
  <c r="C211" i="9"/>
  <c r="D210" i="9"/>
  <c r="B201" i="9" l="1"/>
  <c r="J202" i="9"/>
  <c r="I210" i="9"/>
  <c r="D211" i="9"/>
  <c r="F211" i="9"/>
  <c r="E211" i="9"/>
  <c r="C212" i="9"/>
  <c r="H210" i="9"/>
  <c r="J203" i="9" l="1"/>
  <c r="B202" i="9"/>
  <c r="I211" i="9"/>
  <c r="F212" i="9"/>
  <c r="H212" i="9" s="1"/>
  <c r="D212" i="9"/>
  <c r="E212" i="9"/>
  <c r="C213" i="9"/>
  <c r="H211" i="9"/>
  <c r="G211" i="9"/>
  <c r="J204" i="9" l="1"/>
  <c r="B203" i="9"/>
  <c r="G212" i="9"/>
  <c r="D213" i="9"/>
  <c r="E213" i="9"/>
  <c r="F213" i="9"/>
  <c r="H213" i="9" s="1"/>
  <c r="C214" i="9"/>
  <c r="I212" i="9"/>
  <c r="B204" i="9" l="1"/>
  <c r="J205" i="9"/>
  <c r="I213" i="9"/>
  <c r="G213" i="9"/>
  <c r="E214" i="9"/>
  <c r="C215" i="9"/>
  <c r="D214" i="9"/>
  <c r="F214" i="9"/>
  <c r="H214" i="9" s="1"/>
  <c r="B205" i="9" l="1"/>
  <c r="J206" i="9"/>
  <c r="I214" i="9"/>
  <c r="G214" i="9"/>
  <c r="F215" i="9"/>
  <c r="H215" i="9" s="1"/>
  <c r="E215" i="9"/>
  <c r="C216" i="9"/>
  <c r="D215" i="9"/>
  <c r="B206" i="9" l="1"/>
  <c r="J207" i="9"/>
  <c r="E216" i="9"/>
  <c r="D216" i="9"/>
  <c r="F216" i="9"/>
  <c r="G216" i="9" s="1"/>
  <c r="C217" i="9"/>
  <c r="I215" i="9"/>
  <c r="G215" i="9"/>
  <c r="J208" i="9" l="1"/>
  <c r="B207" i="9"/>
  <c r="C218" i="9"/>
  <c r="F217" i="9"/>
  <c r="G217" i="9" s="1"/>
  <c r="D217" i="9"/>
  <c r="E217" i="9"/>
  <c r="I216" i="9"/>
  <c r="H216" i="9"/>
  <c r="B208" i="9" l="1"/>
  <c r="J209" i="9"/>
  <c r="I217" i="9"/>
  <c r="H217" i="9"/>
  <c r="D218" i="9"/>
  <c r="F218" i="9"/>
  <c r="H218" i="9" s="1"/>
  <c r="E218" i="9"/>
  <c r="C219" i="9"/>
  <c r="B209" i="9" l="1"/>
  <c r="J210" i="9"/>
  <c r="I218" i="9"/>
  <c r="G218" i="9"/>
  <c r="F219" i="9"/>
  <c r="H219" i="9" s="1"/>
  <c r="E219" i="9"/>
  <c r="C220" i="9"/>
  <c r="D219" i="9"/>
  <c r="B210" i="9" l="1"/>
  <c r="J211" i="9"/>
  <c r="I219" i="9"/>
  <c r="D220" i="9"/>
  <c r="E220" i="9"/>
  <c r="C221" i="9"/>
  <c r="F220" i="9"/>
  <c r="G220" i="9" s="1"/>
  <c r="G219" i="9"/>
  <c r="J212" i="9" l="1"/>
  <c r="B211" i="9"/>
  <c r="F221" i="9"/>
  <c r="G221" i="9" s="1"/>
  <c r="D221" i="9"/>
  <c r="E221" i="9"/>
  <c r="C222" i="9"/>
  <c r="I220" i="9"/>
  <c r="H220" i="9"/>
  <c r="B212" i="9" l="1"/>
  <c r="J213" i="9"/>
  <c r="C223" i="9"/>
  <c r="D222" i="9"/>
  <c r="E222" i="9"/>
  <c r="F222" i="9"/>
  <c r="H222" i="9" s="1"/>
  <c r="I221" i="9"/>
  <c r="H221" i="9"/>
  <c r="B213" i="9" l="1"/>
  <c r="J214" i="9"/>
  <c r="I222" i="9"/>
  <c r="G222" i="9"/>
  <c r="F223" i="9"/>
  <c r="G223" i="9" s="1"/>
  <c r="C224" i="9"/>
  <c r="E223" i="9"/>
  <c r="D223" i="9"/>
  <c r="B214" i="9" l="1"/>
  <c r="J215" i="9"/>
  <c r="I223" i="9"/>
  <c r="H223" i="9"/>
  <c r="F224" i="9"/>
  <c r="G224" i="9" s="1"/>
  <c r="E224" i="9"/>
  <c r="C225" i="9"/>
  <c r="D224" i="9"/>
  <c r="J216" i="9" l="1"/>
  <c r="B215" i="9"/>
  <c r="C226" i="9"/>
  <c r="D225" i="9"/>
  <c r="F225" i="9"/>
  <c r="G225" i="9" s="1"/>
  <c r="E225" i="9"/>
  <c r="I224" i="9"/>
  <c r="H224" i="9"/>
  <c r="J217" i="9" l="1"/>
  <c r="B216" i="9"/>
  <c r="I225" i="9"/>
  <c r="H225" i="9"/>
  <c r="E226" i="9"/>
  <c r="C227" i="9"/>
  <c r="D226" i="9"/>
  <c r="F226" i="9"/>
  <c r="H226" i="9" s="1"/>
  <c r="J218" i="9" l="1"/>
  <c r="B217" i="9"/>
  <c r="I226" i="9"/>
  <c r="E227" i="9"/>
  <c r="C228" i="9"/>
  <c r="D227" i="9"/>
  <c r="F227" i="9"/>
  <c r="H227" i="9" s="1"/>
  <c r="G226" i="9"/>
  <c r="B218" i="9" l="1"/>
  <c r="J219" i="9"/>
  <c r="I227" i="9"/>
  <c r="C229" i="9"/>
  <c r="F228" i="9"/>
  <c r="G228" i="9" s="1"/>
  <c r="E228" i="9"/>
  <c r="D228" i="9"/>
  <c r="G227" i="9"/>
  <c r="B219" i="9" l="1"/>
  <c r="J220" i="9"/>
  <c r="I228" i="9"/>
  <c r="H228" i="9"/>
  <c r="F229" i="9"/>
  <c r="H229" i="9" s="1"/>
  <c r="D229" i="9"/>
  <c r="C230" i="9"/>
  <c r="E229" i="9"/>
  <c r="B220" i="9" l="1"/>
  <c r="J221" i="9"/>
  <c r="G229" i="9"/>
  <c r="D230" i="9"/>
  <c r="F230" i="9"/>
  <c r="H230" i="9" s="1"/>
  <c r="C231" i="9"/>
  <c r="E230" i="9"/>
  <c r="I229" i="9"/>
  <c r="B221" i="9" l="1"/>
  <c r="J222" i="9"/>
  <c r="I230" i="9"/>
  <c r="C232" i="9"/>
  <c r="D231" i="9"/>
  <c r="F231" i="9"/>
  <c r="H231" i="9" s="1"/>
  <c r="E231" i="9"/>
  <c r="G230" i="9"/>
  <c r="B222" i="9" l="1"/>
  <c r="J223" i="9"/>
  <c r="I231" i="9"/>
  <c r="G231" i="9"/>
  <c r="E232" i="9"/>
  <c r="F232" i="9"/>
  <c r="G232" i="9" s="1"/>
  <c r="C233" i="9"/>
  <c r="D232" i="9"/>
  <c r="B223" i="9" l="1"/>
  <c r="J224" i="9"/>
  <c r="I232" i="9"/>
  <c r="C234" i="9"/>
  <c r="D233" i="9"/>
  <c r="E233" i="9"/>
  <c r="F233" i="9"/>
  <c r="H233" i="9" s="1"/>
  <c r="H232" i="9"/>
  <c r="B224" i="9" l="1"/>
  <c r="J225" i="9"/>
  <c r="I233" i="9"/>
  <c r="G233" i="9"/>
  <c r="E234" i="9"/>
  <c r="C235" i="9"/>
  <c r="D234" i="9"/>
  <c r="F234" i="9"/>
  <c r="G234" i="9" s="1"/>
  <c r="B225" i="9" l="1"/>
  <c r="J226" i="9"/>
  <c r="I234" i="9"/>
  <c r="H234" i="9"/>
  <c r="C236" i="9"/>
  <c r="F235" i="9"/>
  <c r="G235" i="9" s="1"/>
  <c r="E235" i="9"/>
  <c r="D235" i="9"/>
  <c r="B226" i="9" l="1"/>
  <c r="J227" i="9"/>
  <c r="H235" i="9"/>
  <c r="C237" i="9"/>
  <c r="D236" i="9"/>
  <c r="F236" i="9"/>
  <c r="H236" i="9" s="1"/>
  <c r="E236" i="9"/>
  <c r="I235" i="9"/>
  <c r="B227" i="9" l="1"/>
  <c r="J228" i="9"/>
  <c r="I236" i="9"/>
  <c r="G236" i="9"/>
  <c r="F237" i="9"/>
  <c r="G237" i="9" s="1"/>
  <c r="E237" i="9"/>
  <c r="D237" i="9"/>
  <c r="C238" i="9"/>
  <c r="B228" i="9" l="1"/>
  <c r="J229" i="9"/>
  <c r="H237" i="9"/>
  <c r="I237" i="9"/>
  <c r="F238" i="9"/>
  <c r="H238" i="9" s="1"/>
  <c r="E238" i="9"/>
  <c r="C239" i="9"/>
  <c r="D238" i="9"/>
  <c r="J230" i="9" l="1"/>
  <c r="B229" i="9"/>
  <c r="C240" i="9"/>
  <c r="D239" i="9"/>
  <c r="F239" i="9"/>
  <c r="H239" i="9" s="1"/>
  <c r="E239" i="9"/>
  <c r="G238" i="9"/>
  <c r="I238" i="9"/>
  <c r="J231" i="9" l="1"/>
  <c r="B230" i="9"/>
  <c r="G239" i="9"/>
  <c r="D240" i="9"/>
  <c r="F240" i="9"/>
  <c r="H240" i="9" s="1"/>
  <c r="C241" i="9"/>
  <c r="E240" i="9"/>
  <c r="I239" i="9"/>
  <c r="J232" i="9" l="1"/>
  <c r="B231" i="9"/>
  <c r="I240" i="9"/>
  <c r="D241" i="9"/>
  <c r="E241" i="9"/>
  <c r="F241" i="9"/>
  <c r="G241" i="9" s="1"/>
  <c r="C242" i="9"/>
  <c r="G240" i="9"/>
  <c r="J233" i="9" l="1"/>
  <c r="B232" i="9"/>
  <c r="D242" i="9"/>
  <c r="F242" i="9"/>
  <c r="G242" i="9" s="1"/>
  <c r="C243" i="9"/>
  <c r="E242" i="9"/>
  <c r="I241" i="9"/>
  <c r="H241" i="9"/>
  <c r="B233" i="9" l="1"/>
  <c r="J234" i="9"/>
  <c r="F243" i="9"/>
  <c r="G243" i="9" s="1"/>
  <c r="E243" i="9"/>
  <c r="C244" i="9"/>
  <c r="D243" i="9"/>
  <c r="I242" i="9"/>
  <c r="H242" i="9"/>
  <c r="B234" i="9" l="1"/>
  <c r="J235" i="9"/>
  <c r="I243" i="9"/>
  <c r="H243" i="9"/>
  <c r="D244" i="9"/>
  <c r="F244" i="9"/>
  <c r="H244" i="9" s="1"/>
  <c r="E244" i="9"/>
  <c r="C245" i="9"/>
  <c r="B235" i="9" l="1"/>
  <c r="J236" i="9"/>
  <c r="I244" i="9"/>
  <c r="G244" i="9"/>
  <c r="C246" i="9"/>
  <c r="E245" i="9"/>
  <c r="F245" i="9"/>
  <c r="G245" i="9" s="1"/>
  <c r="D245" i="9"/>
  <c r="B236" i="9" l="1"/>
  <c r="J237" i="9"/>
  <c r="I245" i="9"/>
  <c r="H245" i="9"/>
  <c r="C247" i="9"/>
  <c r="D246" i="9"/>
  <c r="F246" i="9"/>
  <c r="G246" i="9" s="1"/>
  <c r="E246" i="9"/>
  <c r="B237" i="9" l="1"/>
  <c r="J238" i="9"/>
  <c r="I246" i="9"/>
  <c r="H246" i="9"/>
  <c r="F247" i="9"/>
  <c r="H247" i="9" s="1"/>
  <c r="E247" i="9"/>
  <c r="C248" i="9"/>
  <c r="D247" i="9"/>
  <c r="B238" i="9" l="1"/>
  <c r="J239" i="9"/>
  <c r="I247" i="9"/>
  <c r="G247" i="9"/>
  <c r="F248" i="9"/>
  <c r="H248" i="9" s="1"/>
  <c r="C249" i="9"/>
  <c r="D248" i="9"/>
  <c r="E248" i="9"/>
  <c r="J240" i="9" l="1"/>
  <c r="B239" i="9"/>
  <c r="I248" i="9"/>
  <c r="D249" i="9"/>
  <c r="C250" i="9"/>
  <c r="F249" i="9"/>
  <c r="H249" i="9" s="1"/>
  <c r="E249" i="9"/>
  <c r="G248" i="9"/>
  <c r="J241" i="9" l="1"/>
  <c r="B240" i="9"/>
  <c r="I249" i="9"/>
  <c r="E250" i="9"/>
  <c r="C251" i="9"/>
  <c r="D250" i="9"/>
  <c r="F250" i="9"/>
  <c r="G250" i="9" s="1"/>
  <c r="G249" i="9"/>
  <c r="B241" i="9" l="1"/>
  <c r="J242" i="9"/>
  <c r="I250" i="9"/>
  <c r="H250" i="9"/>
  <c r="C252" i="9"/>
  <c r="D251" i="9"/>
  <c r="F251" i="9"/>
  <c r="G251" i="9" s="1"/>
  <c r="E251" i="9"/>
  <c r="B242" i="9" l="1"/>
  <c r="J243" i="9"/>
  <c r="I251" i="9"/>
  <c r="D252" i="9"/>
  <c r="F252" i="9"/>
  <c r="G252" i="9" s="1"/>
  <c r="E252" i="9"/>
  <c r="C253" i="9"/>
  <c r="H251" i="9"/>
  <c r="B243" i="9" l="1"/>
  <c r="J244" i="9"/>
  <c r="F253" i="9"/>
  <c r="H253" i="9" s="1"/>
  <c r="E253" i="9"/>
  <c r="C254" i="9"/>
  <c r="D253" i="9"/>
  <c r="I252" i="9"/>
  <c r="H252" i="9"/>
  <c r="J245" i="9" l="1"/>
  <c r="B244" i="9"/>
  <c r="I253" i="9"/>
  <c r="G253" i="9"/>
  <c r="E254" i="9"/>
  <c r="C255" i="9"/>
  <c r="F254" i="9"/>
  <c r="G254" i="9" s="1"/>
  <c r="D254" i="9"/>
  <c r="B245" i="9" l="1"/>
  <c r="J246" i="9"/>
  <c r="I254" i="9"/>
  <c r="H254" i="9"/>
  <c r="D255" i="9"/>
  <c r="F255" i="9"/>
  <c r="H255" i="9" s="1"/>
  <c r="E255" i="9"/>
  <c r="C256" i="9"/>
  <c r="B246" i="9" l="1"/>
  <c r="J247" i="9"/>
  <c r="I255" i="9"/>
  <c r="D256" i="9"/>
  <c r="E256" i="9"/>
  <c r="F256" i="9"/>
  <c r="H256" i="9" s="1"/>
  <c r="C257" i="9"/>
  <c r="G255" i="9"/>
  <c r="B247" i="9" l="1"/>
  <c r="J248" i="9"/>
  <c r="I256" i="9"/>
  <c r="G256" i="9"/>
  <c r="F257" i="9"/>
  <c r="G257" i="9" s="1"/>
  <c r="D257" i="9"/>
  <c r="E257" i="9"/>
  <c r="C258" i="9"/>
  <c r="B248" i="9" l="1"/>
  <c r="J249" i="9"/>
  <c r="I257" i="9"/>
  <c r="H257" i="9"/>
  <c r="D258" i="9"/>
  <c r="F258" i="9"/>
  <c r="G258" i="9" s="1"/>
  <c r="C259" i="9"/>
  <c r="E258" i="9"/>
  <c r="B249" i="9" l="1"/>
  <c r="J250" i="9"/>
  <c r="H258" i="9"/>
  <c r="I258" i="9"/>
  <c r="D259" i="9"/>
  <c r="E259" i="9"/>
  <c r="C260" i="9"/>
  <c r="F259" i="9"/>
  <c r="H259" i="9" s="1"/>
  <c r="B250" i="9" l="1"/>
  <c r="J251" i="9"/>
  <c r="I259" i="9"/>
  <c r="G259" i="9"/>
  <c r="D260" i="9"/>
  <c r="E260" i="9"/>
  <c r="C261" i="9"/>
  <c r="F260" i="9"/>
  <c r="G260" i="9" s="1"/>
  <c r="B251" i="9" l="1"/>
  <c r="J252" i="9"/>
  <c r="I260" i="9"/>
  <c r="H260" i="9"/>
  <c r="F261" i="9"/>
  <c r="H261" i="9" s="1"/>
  <c r="D261" i="9"/>
  <c r="C262" i="9"/>
  <c r="E261" i="9"/>
  <c r="B252" i="9" l="1"/>
  <c r="J253" i="9"/>
  <c r="I261" i="9"/>
  <c r="G261" i="9"/>
  <c r="F262" i="9"/>
  <c r="H262" i="9" s="1"/>
  <c r="E262" i="9"/>
  <c r="C263" i="9"/>
  <c r="D262" i="9"/>
  <c r="B253" i="9" l="1"/>
  <c r="J254" i="9"/>
  <c r="I262" i="9"/>
  <c r="G262" i="9"/>
  <c r="F263" i="9"/>
  <c r="H263" i="9" s="1"/>
  <c r="E263" i="9"/>
  <c r="C264" i="9"/>
  <c r="D263" i="9"/>
  <c r="J255" i="9" l="1"/>
  <c r="B254" i="9"/>
  <c r="G263" i="9"/>
  <c r="I263" i="9"/>
  <c r="E264" i="9"/>
  <c r="C265" i="9"/>
  <c r="D264" i="9"/>
  <c r="F264" i="9"/>
  <c r="G264" i="9" s="1"/>
  <c r="J256" i="9" l="1"/>
  <c r="B255" i="9"/>
  <c r="H264" i="9"/>
  <c r="C266" i="9"/>
  <c r="F265" i="9"/>
  <c r="H265" i="9" s="1"/>
  <c r="D265" i="9"/>
  <c r="E265" i="9"/>
  <c r="I264" i="9"/>
  <c r="B256" i="9" l="1"/>
  <c r="J257" i="9"/>
  <c r="I265" i="9"/>
  <c r="G265" i="9"/>
  <c r="D266" i="9"/>
  <c r="F266" i="9"/>
  <c r="H266" i="9" s="1"/>
  <c r="E266" i="9"/>
  <c r="C267" i="9"/>
  <c r="J258" i="9" l="1"/>
  <c r="B257" i="9"/>
  <c r="I266" i="9"/>
  <c r="G266" i="9"/>
  <c r="C268" i="9"/>
  <c r="D267" i="9"/>
  <c r="F267" i="9"/>
  <c r="G267" i="9" s="1"/>
  <c r="E267" i="9"/>
  <c r="B258" i="9" l="1"/>
  <c r="J259" i="9"/>
  <c r="I267" i="9"/>
  <c r="H267" i="9"/>
  <c r="C269" i="9"/>
  <c r="D268" i="9"/>
  <c r="E268" i="9"/>
  <c r="F268" i="9"/>
  <c r="G268" i="9" s="1"/>
  <c r="B259" i="9" l="1"/>
  <c r="J260" i="9"/>
  <c r="I268" i="9"/>
  <c r="H268" i="9"/>
  <c r="C270" i="9"/>
  <c r="F269" i="9"/>
  <c r="H269" i="9" s="1"/>
  <c r="D269" i="9"/>
  <c r="E269" i="9"/>
  <c r="B260" i="9" l="1"/>
  <c r="J261" i="9"/>
  <c r="I269" i="9"/>
  <c r="G269" i="9"/>
  <c r="E270" i="9"/>
  <c r="C271" i="9"/>
  <c r="F270" i="9"/>
  <c r="H270" i="9" s="1"/>
  <c r="D270" i="9"/>
  <c r="B261" i="9" l="1"/>
  <c r="J262" i="9"/>
  <c r="I270" i="9"/>
  <c r="G270" i="9"/>
  <c r="F271" i="9"/>
  <c r="H271" i="9" s="1"/>
  <c r="E271" i="9"/>
  <c r="C272" i="9"/>
  <c r="D271" i="9"/>
  <c r="B262" i="9" l="1"/>
  <c r="J263" i="9"/>
  <c r="I271" i="9"/>
  <c r="F272" i="9"/>
  <c r="H272" i="9" s="1"/>
  <c r="E272" i="9"/>
  <c r="C273" i="9"/>
  <c r="D272" i="9"/>
  <c r="G271" i="9"/>
  <c r="J264" i="9" l="1"/>
  <c r="B263" i="9"/>
  <c r="E273" i="9"/>
  <c r="F273" i="9"/>
  <c r="G273" i="9" s="1"/>
  <c r="D273" i="9"/>
  <c r="C274" i="9"/>
  <c r="I272" i="9"/>
  <c r="G272" i="9"/>
  <c r="B264" i="9" l="1"/>
  <c r="J265" i="9"/>
  <c r="I273" i="9"/>
  <c r="D274" i="9"/>
  <c r="F274" i="9"/>
  <c r="H274" i="9" s="1"/>
  <c r="E274" i="9"/>
  <c r="C275" i="9"/>
  <c r="H273" i="9"/>
  <c r="B265" i="9" l="1"/>
  <c r="J266" i="9"/>
  <c r="G274" i="9"/>
  <c r="C276" i="9"/>
  <c r="D275" i="9"/>
  <c r="F275" i="9"/>
  <c r="G275" i="9" s="1"/>
  <c r="E275" i="9"/>
  <c r="I274" i="9"/>
  <c r="J267" i="9" l="1"/>
  <c r="B266" i="9"/>
  <c r="I275" i="9"/>
  <c r="H275" i="9"/>
  <c r="D276" i="9"/>
  <c r="C277" i="9"/>
  <c r="F276" i="9"/>
  <c r="H276" i="9" s="1"/>
  <c r="E276" i="9"/>
  <c r="B267" i="9" l="1"/>
  <c r="J268" i="9"/>
  <c r="I276" i="9"/>
  <c r="G276" i="9"/>
  <c r="D277" i="9"/>
  <c r="C278" i="9"/>
  <c r="F277" i="9"/>
  <c r="H277" i="9" s="1"/>
  <c r="E277" i="9"/>
  <c r="B268" i="9" l="1"/>
  <c r="J269" i="9"/>
  <c r="I277" i="9"/>
  <c r="C279" i="9"/>
  <c r="D278" i="9"/>
  <c r="F278" i="9"/>
  <c r="H278" i="9" s="1"/>
  <c r="E278" i="9"/>
  <c r="G277" i="9"/>
  <c r="B269" i="9" l="1"/>
  <c r="J270" i="9"/>
  <c r="I278" i="9"/>
  <c r="G278" i="9"/>
  <c r="F279" i="9"/>
  <c r="H279" i="9" s="1"/>
  <c r="E279" i="9"/>
  <c r="D279" i="9"/>
  <c r="C280" i="9"/>
  <c r="B270" i="9" l="1"/>
  <c r="J271" i="9"/>
  <c r="I279" i="9"/>
  <c r="G279" i="9"/>
  <c r="E280" i="9"/>
  <c r="C281" i="9"/>
  <c r="F280" i="9"/>
  <c r="H280" i="9" s="1"/>
  <c r="D280" i="9"/>
  <c r="J272" i="9" l="1"/>
  <c r="B271" i="9"/>
  <c r="I280" i="9"/>
  <c r="G280" i="9"/>
  <c r="C282" i="9"/>
  <c r="F281" i="9"/>
  <c r="G281" i="9" s="1"/>
  <c r="D281" i="9"/>
  <c r="E281" i="9"/>
  <c r="B272" i="9" l="1"/>
  <c r="J273" i="9"/>
  <c r="I281" i="9"/>
  <c r="H281" i="9"/>
  <c r="F282" i="9"/>
  <c r="H282" i="9" s="1"/>
  <c r="D282" i="9"/>
  <c r="E282" i="9"/>
  <c r="C283" i="9"/>
  <c r="B273" i="9" l="1"/>
  <c r="J274" i="9"/>
  <c r="G282" i="9"/>
  <c r="I282" i="9"/>
  <c r="E283" i="9"/>
  <c r="C284" i="9"/>
  <c r="D283" i="9"/>
  <c r="F283" i="9"/>
  <c r="H283" i="9" s="1"/>
  <c r="J275" i="9" l="1"/>
  <c r="B274" i="9"/>
  <c r="I283" i="9"/>
  <c r="C285" i="9"/>
  <c r="D284" i="9"/>
  <c r="F284" i="9"/>
  <c r="E284" i="9"/>
  <c r="G283" i="9"/>
  <c r="B275" i="9" l="1"/>
  <c r="J276" i="9"/>
  <c r="I284" i="9"/>
  <c r="H284" i="9"/>
  <c r="G284" i="9"/>
  <c r="D285" i="9"/>
  <c r="F285" i="9"/>
  <c r="H285" i="9" s="1"/>
  <c r="E285" i="9"/>
  <c r="C286" i="9"/>
  <c r="B276" i="9" l="1"/>
  <c r="J277" i="9"/>
  <c r="I285" i="9"/>
  <c r="F286" i="9"/>
  <c r="H286" i="9" s="1"/>
  <c r="D286" i="9"/>
  <c r="E286" i="9"/>
  <c r="C287" i="9"/>
  <c r="G285" i="9"/>
  <c r="B277" i="9" l="1"/>
  <c r="J278" i="9"/>
  <c r="I286" i="9"/>
  <c r="C288" i="9"/>
  <c r="F287" i="9"/>
  <c r="H287" i="9" s="1"/>
  <c r="D287" i="9"/>
  <c r="E287" i="9"/>
  <c r="G286" i="9"/>
  <c r="B278" i="9" l="1"/>
  <c r="J279" i="9"/>
  <c r="I287" i="9"/>
  <c r="G287" i="9"/>
  <c r="F288" i="9"/>
  <c r="H288" i="9" s="1"/>
  <c r="D288" i="9"/>
  <c r="E288" i="9"/>
  <c r="C289" i="9"/>
  <c r="B279" i="9" l="1"/>
  <c r="J280" i="9"/>
  <c r="I288" i="9"/>
  <c r="G288" i="9"/>
  <c r="D289" i="9"/>
  <c r="F289" i="9"/>
  <c r="H289" i="9" s="1"/>
  <c r="E289" i="9"/>
  <c r="C290" i="9"/>
  <c r="B280" i="9" l="1"/>
  <c r="J281" i="9"/>
  <c r="G289" i="9"/>
  <c r="I289" i="9"/>
  <c r="D290" i="9"/>
  <c r="E290" i="9"/>
  <c r="C291" i="9"/>
  <c r="F290" i="9"/>
  <c r="G290" i="9" s="1"/>
  <c r="B281" i="9" l="1"/>
  <c r="J282" i="9"/>
  <c r="I290" i="9"/>
  <c r="H290" i="9"/>
  <c r="C292" i="9"/>
  <c r="F291" i="9"/>
  <c r="G291" i="9" s="1"/>
  <c r="D291" i="9"/>
  <c r="E291" i="9"/>
  <c r="B282" i="9" l="1"/>
  <c r="J283" i="9"/>
  <c r="I291" i="9"/>
  <c r="C293" i="9"/>
  <c r="D292" i="9"/>
  <c r="F292" i="9"/>
  <c r="H292" i="9" s="1"/>
  <c r="E292" i="9"/>
  <c r="H291" i="9"/>
  <c r="B283" i="9" l="1"/>
  <c r="J284" i="9"/>
  <c r="I292" i="9"/>
  <c r="G292" i="9"/>
  <c r="C294" i="9"/>
  <c r="D293" i="9"/>
  <c r="F293" i="9"/>
  <c r="H293" i="9" s="1"/>
  <c r="E293" i="9"/>
  <c r="B284" i="9" l="1"/>
  <c r="J285" i="9"/>
  <c r="I293" i="9"/>
  <c r="G293" i="9"/>
  <c r="C295" i="9"/>
  <c r="D294" i="9"/>
  <c r="F294" i="9"/>
  <c r="G294" i="9" s="1"/>
  <c r="E294" i="9"/>
  <c r="B285" i="9" l="1"/>
  <c r="J286" i="9"/>
  <c r="I294" i="9"/>
  <c r="H294" i="9"/>
  <c r="F295" i="9"/>
  <c r="G295" i="9" s="1"/>
  <c r="D295" i="9"/>
  <c r="E295" i="9"/>
  <c r="C296" i="9"/>
  <c r="B286" i="9" l="1"/>
  <c r="J287" i="9"/>
  <c r="I295" i="9"/>
  <c r="H295" i="9"/>
  <c r="C297" i="9"/>
  <c r="D296" i="9"/>
  <c r="E296" i="9"/>
  <c r="F296" i="9"/>
  <c r="H296" i="9" s="1"/>
  <c r="J288" i="9" l="1"/>
  <c r="B287" i="9"/>
  <c r="I296" i="9"/>
  <c r="G296" i="9"/>
  <c r="F297" i="9"/>
  <c r="G297" i="9" s="1"/>
  <c r="D297" i="9"/>
  <c r="E297" i="9"/>
  <c r="C298" i="9"/>
  <c r="B288" i="9" l="1"/>
  <c r="J289" i="9"/>
  <c r="I297" i="9"/>
  <c r="H297" i="9"/>
  <c r="F298" i="9"/>
  <c r="H298" i="9" s="1"/>
  <c r="E298" i="9"/>
  <c r="C299" i="9"/>
  <c r="D298" i="9"/>
  <c r="B289" i="9" l="1"/>
  <c r="J290" i="9"/>
  <c r="I298" i="9"/>
  <c r="G298" i="9"/>
  <c r="E299" i="9"/>
  <c r="C300" i="9"/>
  <c r="D299" i="9"/>
  <c r="F299" i="9"/>
  <c r="H299" i="9" s="1"/>
  <c r="J291" i="9" l="1"/>
  <c r="B290" i="9"/>
  <c r="I299" i="9"/>
  <c r="D300" i="9"/>
  <c r="F300" i="9"/>
  <c r="G300" i="9" s="1"/>
  <c r="E300" i="9"/>
  <c r="C301" i="9"/>
  <c r="G299" i="9"/>
  <c r="B291" i="9" l="1"/>
  <c r="J292" i="9"/>
  <c r="E301" i="9"/>
  <c r="C302" i="9"/>
  <c r="F301" i="9"/>
  <c r="H301" i="9" s="1"/>
  <c r="D301" i="9"/>
  <c r="I300" i="9"/>
  <c r="H300" i="9"/>
  <c r="J293" i="9" l="1"/>
  <c r="B292" i="9"/>
  <c r="I301" i="9"/>
  <c r="D302" i="9"/>
  <c r="C303" i="9"/>
  <c r="F302" i="9"/>
  <c r="G302" i="9" s="1"/>
  <c r="E302" i="9"/>
  <c r="G301" i="9"/>
  <c r="B293" i="9" l="1"/>
  <c r="J294" i="9"/>
  <c r="H302" i="9"/>
  <c r="D303" i="9"/>
  <c r="F303" i="9"/>
  <c r="H303" i="9" s="1"/>
  <c r="E303" i="9"/>
  <c r="C304" i="9"/>
  <c r="I302" i="9"/>
  <c r="B294" i="9" l="1"/>
  <c r="J295" i="9"/>
  <c r="I303" i="9"/>
  <c r="G303" i="9"/>
  <c r="E304" i="9"/>
  <c r="F304" i="9"/>
  <c r="H304" i="9" s="1"/>
  <c r="D304" i="9"/>
  <c r="C305" i="9"/>
  <c r="J296" i="9" l="1"/>
  <c r="B295" i="9"/>
  <c r="I304" i="9"/>
  <c r="F305" i="9"/>
  <c r="G305" i="9" s="1"/>
  <c r="E305" i="9"/>
  <c r="C306" i="9"/>
  <c r="D305" i="9"/>
  <c r="G304" i="9"/>
  <c r="B296" i="9" l="1"/>
  <c r="J297" i="9"/>
  <c r="H305" i="9"/>
  <c r="I305" i="9"/>
  <c r="F306" i="9"/>
  <c r="G306" i="9" s="1"/>
  <c r="D306" i="9"/>
  <c r="E306" i="9"/>
  <c r="C307" i="9"/>
  <c r="B297" i="9" l="1"/>
  <c r="J298" i="9"/>
  <c r="H306" i="9"/>
  <c r="D307" i="9"/>
  <c r="E307" i="9"/>
  <c r="C308" i="9"/>
  <c r="F307" i="9"/>
  <c r="G307" i="9" s="1"/>
  <c r="I306" i="9"/>
  <c r="J299" i="9" l="1"/>
  <c r="B298" i="9"/>
  <c r="F308" i="9"/>
  <c r="H308" i="9" s="1"/>
  <c r="D308" i="9"/>
  <c r="E308" i="9"/>
  <c r="C309" i="9"/>
  <c r="H307" i="9"/>
  <c r="I307" i="9"/>
  <c r="B299" i="9" l="1"/>
  <c r="J300" i="9"/>
  <c r="G308" i="9"/>
  <c r="I308" i="9"/>
  <c r="D309" i="9"/>
  <c r="F309" i="9"/>
  <c r="H309" i="9" s="1"/>
  <c r="E309" i="9"/>
  <c r="C310" i="9"/>
  <c r="B300" i="9" l="1"/>
  <c r="J301" i="9"/>
  <c r="C311" i="9"/>
  <c r="F310" i="9"/>
  <c r="H310" i="9" s="1"/>
  <c r="E310" i="9"/>
  <c r="D310" i="9"/>
  <c r="G309" i="9"/>
  <c r="I309" i="9"/>
  <c r="B301" i="9" l="1"/>
  <c r="J302" i="9"/>
  <c r="I310" i="9"/>
  <c r="G310" i="9"/>
  <c r="D311" i="9"/>
  <c r="E311" i="9"/>
  <c r="C312" i="9"/>
  <c r="F311" i="9"/>
  <c r="H311" i="9" s="1"/>
  <c r="B302" i="9" l="1"/>
  <c r="J303" i="9"/>
  <c r="I311" i="9"/>
  <c r="C313" i="9"/>
  <c r="D312" i="9"/>
  <c r="E312" i="9"/>
  <c r="F312" i="9"/>
  <c r="H312" i="9" s="1"/>
  <c r="G311" i="9"/>
  <c r="B303" i="9" l="1"/>
  <c r="J304" i="9"/>
  <c r="I312" i="9"/>
  <c r="G312" i="9"/>
  <c r="C314" i="9"/>
  <c r="E313" i="9"/>
  <c r="F313" i="9"/>
  <c r="G313" i="9" s="1"/>
  <c r="D313" i="9"/>
  <c r="B304" i="9" l="1"/>
  <c r="J305" i="9"/>
  <c r="I313" i="9"/>
  <c r="H313" i="9"/>
  <c r="E314" i="9"/>
  <c r="C315" i="9"/>
  <c r="D314" i="9"/>
  <c r="F314" i="9"/>
  <c r="G314" i="9" s="1"/>
  <c r="B305" i="9" l="1"/>
  <c r="J306" i="9"/>
  <c r="I314" i="9"/>
  <c r="H314" i="9"/>
  <c r="D315" i="9"/>
  <c r="F315" i="9"/>
  <c r="G315" i="9" s="1"/>
  <c r="E315" i="9"/>
  <c r="C316" i="9"/>
  <c r="B306" i="9" l="1"/>
  <c r="J307" i="9"/>
  <c r="H315" i="9"/>
  <c r="I315" i="9"/>
  <c r="E316" i="9"/>
  <c r="C317" i="9"/>
  <c r="D316" i="9"/>
  <c r="F316" i="9"/>
  <c r="G316" i="9" s="1"/>
  <c r="B307" i="9" l="1"/>
  <c r="J308" i="9"/>
  <c r="I316" i="9"/>
  <c r="E317" i="9"/>
  <c r="F317" i="9"/>
  <c r="D317" i="9"/>
  <c r="C318" i="9"/>
  <c r="H316" i="9"/>
  <c r="B308" i="9" l="1"/>
  <c r="J309" i="9"/>
  <c r="I317" i="9"/>
  <c r="E318" i="9"/>
  <c r="C319" i="9"/>
  <c r="F318" i="9"/>
  <c r="G318" i="9" s="1"/>
  <c r="D318" i="9"/>
  <c r="G317" i="9"/>
  <c r="H317" i="9"/>
  <c r="J310" i="9" l="1"/>
  <c r="B309" i="9"/>
  <c r="I318" i="9"/>
  <c r="H318" i="9"/>
  <c r="C320" i="9"/>
  <c r="D319" i="9"/>
  <c r="F319" i="9"/>
  <c r="G319" i="9" s="1"/>
  <c r="E319" i="9"/>
  <c r="J311" i="9" l="1"/>
  <c r="B310" i="9"/>
  <c r="I319" i="9"/>
  <c r="H319" i="9"/>
  <c r="F320" i="9"/>
  <c r="G320" i="9" s="1"/>
  <c r="C321" i="9"/>
  <c r="E320" i="9"/>
  <c r="D320" i="9"/>
  <c r="B311" i="9" l="1"/>
  <c r="J312" i="9"/>
  <c r="I320" i="9"/>
  <c r="F321" i="9"/>
  <c r="G321" i="9" s="1"/>
  <c r="D321" i="9"/>
  <c r="E321" i="9"/>
  <c r="C322" i="9"/>
  <c r="H320" i="9"/>
  <c r="J313" i="9" l="1"/>
  <c r="B312" i="9"/>
  <c r="H321" i="9"/>
  <c r="E322" i="9"/>
  <c r="F322" i="9"/>
  <c r="H322" i="9" s="1"/>
  <c r="C323" i="9"/>
  <c r="D322" i="9"/>
  <c r="I321" i="9"/>
  <c r="B313" i="9" l="1"/>
  <c r="J314" i="9"/>
  <c r="I322" i="9"/>
  <c r="F323" i="9"/>
  <c r="E323" i="9"/>
  <c r="D323" i="9"/>
  <c r="C324" i="9"/>
  <c r="G322" i="9"/>
  <c r="J315" i="9" l="1"/>
  <c r="B314" i="9"/>
  <c r="I323" i="9"/>
  <c r="G323" i="9"/>
  <c r="D324" i="9"/>
  <c r="F324" i="9"/>
  <c r="H324" i="9" s="1"/>
  <c r="E324" i="9"/>
  <c r="C325" i="9"/>
  <c r="H323" i="9"/>
  <c r="B315" i="9" l="1"/>
  <c r="J316" i="9"/>
  <c r="G324" i="9"/>
  <c r="I324" i="9"/>
  <c r="C326" i="9"/>
  <c r="F325" i="9"/>
  <c r="H325" i="9" s="1"/>
  <c r="D325" i="9"/>
  <c r="E325" i="9"/>
  <c r="B316" i="9" l="1"/>
  <c r="J317" i="9"/>
  <c r="G325" i="9"/>
  <c r="D326" i="9"/>
  <c r="F326" i="9"/>
  <c r="H326" i="9" s="1"/>
  <c r="E326" i="9"/>
  <c r="C327" i="9"/>
  <c r="I325" i="9"/>
  <c r="B317" i="9" l="1"/>
  <c r="J318" i="9"/>
  <c r="I326" i="9"/>
  <c r="G326" i="9"/>
  <c r="C328" i="9"/>
  <c r="D327" i="9"/>
  <c r="F327" i="9"/>
  <c r="E327" i="9"/>
  <c r="J319" i="9" l="1"/>
  <c r="B318" i="9"/>
  <c r="I327" i="9"/>
  <c r="H327" i="9"/>
  <c r="G327" i="9"/>
  <c r="D328" i="9"/>
  <c r="F328" i="9"/>
  <c r="H328" i="9" s="1"/>
  <c r="C329" i="9"/>
  <c r="E328" i="9"/>
  <c r="B319" i="9" l="1"/>
  <c r="J320" i="9"/>
  <c r="I328" i="9"/>
  <c r="G328" i="9"/>
  <c r="E329" i="9"/>
  <c r="D329" i="9"/>
  <c r="C330" i="9"/>
  <c r="F329" i="9"/>
  <c r="G329" i="9" s="1"/>
  <c r="J321" i="9" l="1"/>
  <c r="B320" i="9"/>
  <c r="I329" i="9"/>
  <c r="H329" i="9"/>
  <c r="C331" i="9"/>
  <c r="D330" i="9"/>
  <c r="F330" i="9"/>
  <c r="G330" i="9" s="1"/>
  <c r="E330" i="9"/>
  <c r="B321" i="9" l="1"/>
  <c r="J322" i="9"/>
  <c r="I330" i="9"/>
  <c r="H330" i="9"/>
  <c r="C332" i="9"/>
  <c r="F331" i="9"/>
  <c r="H331" i="9" s="1"/>
  <c r="E331" i="9"/>
  <c r="D331" i="9"/>
  <c r="B322" i="9" l="1"/>
  <c r="J323" i="9"/>
  <c r="G331" i="9"/>
  <c r="D332" i="9"/>
  <c r="E332" i="9"/>
  <c r="F332" i="9"/>
  <c r="H332" i="9" s="1"/>
  <c r="C333" i="9"/>
  <c r="I331" i="9"/>
  <c r="B323" i="9" l="1"/>
  <c r="J324" i="9"/>
  <c r="I332" i="9"/>
  <c r="G332" i="9"/>
  <c r="D333" i="9"/>
  <c r="E333" i="9"/>
  <c r="C334" i="9"/>
  <c r="F333" i="9"/>
  <c r="G333" i="9" s="1"/>
  <c r="B324" i="9" l="1"/>
  <c r="J325" i="9"/>
  <c r="C335" i="9"/>
  <c r="F334" i="9"/>
  <c r="G334" i="9" s="1"/>
  <c r="D334" i="9"/>
  <c r="E334" i="9"/>
  <c r="H333" i="9"/>
  <c r="I333" i="9"/>
  <c r="B325" i="9" l="1"/>
  <c r="J326" i="9"/>
  <c r="I334" i="9"/>
  <c r="H334" i="9"/>
  <c r="D335" i="9"/>
  <c r="C336" i="9"/>
  <c r="F335" i="9"/>
  <c r="G335" i="9" s="1"/>
  <c r="E335" i="9"/>
  <c r="B326" i="9" l="1"/>
  <c r="J327" i="9"/>
  <c r="H335" i="9"/>
  <c r="D336" i="9"/>
  <c r="F336" i="9"/>
  <c r="G336" i="9" s="1"/>
  <c r="E336" i="9"/>
  <c r="C337" i="9"/>
  <c r="I335" i="9"/>
  <c r="B327" i="9" l="1"/>
  <c r="J328" i="9"/>
  <c r="H336" i="9"/>
  <c r="I336" i="9"/>
  <c r="C338" i="9"/>
  <c r="D337" i="9"/>
  <c r="F337" i="9"/>
  <c r="G337" i="9" s="1"/>
  <c r="E337" i="9"/>
  <c r="B328" i="9" l="1"/>
  <c r="J329" i="9"/>
  <c r="I337" i="9"/>
  <c r="H337" i="9"/>
  <c r="C339" i="9"/>
  <c r="F338" i="9"/>
  <c r="G338" i="9" s="1"/>
  <c r="D338" i="9"/>
  <c r="E338" i="9"/>
  <c r="B329" i="9" l="1"/>
  <c r="J330" i="9"/>
  <c r="I338" i="9"/>
  <c r="F339" i="9"/>
  <c r="G339" i="9" s="1"/>
  <c r="E339" i="9"/>
  <c r="C340" i="9"/>
  <c r="D339" i="9"/>
  <c r="H338" i="9"/>
  <c r="B330" i="9" l="1"/>
  <c r="J331" i="9"/>
  <c r="I339" i="9"/>
  <c r="H339" i="9"/>
  <c r="D340" i="9"/>
  <c r="F340" i="9"/>
  <c r="G340" i="9" s="1"/>
  <c r="C341" i="9"/>
  <c r="E340" i="9"/>
  <c r="B331" i="9" l="1"/>
  <c r="J332" i="9"/>
  <c r="D341" i="9"/>
  <c r="E341" i="9"/>
  <c r="F341" i="9"/>
  <c r="H341" i="9" s="1"/>
  <c r="C342" i="9"/>
  <c r="I340" i="9"/>
  <c r="H340" i="9"/>
  <c r="B332" i="9" l="1"/>
  <c r="J333" i="9"/>
  <c r="C343" i="9"/>
  <c r="F342" i="9"/>
  <c r="G342" i="9" s="1"/>
  <c r="E342" i="9"/>
  <c r="D342" i="9"/>
  <c r="G341" i="9"/>
  <c r="I341" i="9"/>
  <c r="J334" i="9" l="1"/>
  <c r="B333" i="9"/>
  <c r="H342" i="9"/>
  <c r="E343" i="9"/>
  <c r="C344" i="9"/>
  <c r="D343" i="9"/>
  <c r="F343" i="9"/>
  <c r="H343" i="9" s="1"/>
  <c r="I342" i="9"/>
  <c r="B334" i="9" l="1"/>
  <c r="J335" i="9"/>
  <c r="I343" i="9"/>
  <c r="D344" i="9"/>
  <c r="F344" i="9"/>
  <c r="H344" i="9" s="1"/>
  <c r="E344" i="9"/>
  <c r="C345" i="9"/>
  <c r="G343" i="9"/>
  <c r="B335" i="9" l="1"/>
  <c r="J336" i="9"/>
  <c r="F345" i="9"/>
  <c r="G345" i="9" s="1"/>
  <c r="E345" i="9"/>
  <c r="C346" i="9"/>
  <c r="D345" i="9"/>
  <c r="G344" i="9"/>
  <c r="I344" i="9"/>
  <c r="J337" i="9" l="1"/>
  <c r="B336" i="9"/>
  <c r="I345" i="9"/>
  <c r="F346" i="9"/>
  <c r="G346" i="9" s="1"/>
  <c r="D346" i="9"/>
  <c r="E346" i="9"/>
  <c r="C347" i="9"/>
  <c r="H345" i="9"/>
  <c r="B337" i="9" l="1"/>
  <c r="J338" i="9"/>
  <c r="H346" i="9"/>
  <c r="D347" i="9"/>
  <c r="F347" i="9"/>
  <c r="H347" i="9" s="1"/>
  <c r="E347" i="9"/>
  <c r="C348" i="9"/>
  <c r="I346" i="9"/>
  <c r="B338" i="9" l="1"/>
  <c r="J339" i="9"/>
  <c r="I347" i="9"/>
  <c r="G347" i="9"/>
  <c r="D348" i="9"/>
  <c r="E348" i="9"/>
  <c r="C349" i="9"/>
  <c r="F348" i="9"/>
  <c r="G348" i="9" s="1"/>
  <c r="J340" i="9" l="1"/>
  <c r="B339" i="9"/>
  <c r="D349" i="9"/>
  <c r="F349" i="9"/>
  <c r="G349" i="9" s="1"/>
  <c r="E349" i="9"/>
  <c r="C350" i="9"/>
  <c r="H348" i="9"/>
  <c r="I348" i="9"/>
  <c r="B340" i="9" l="1"/>
  <c r="J341" i="9"/>
  <c r="I349" i="9"/>
  <c r="H349" i="9"/>
  <c r="E350" i="9"/>
  <c r="C351" i="9"/>
  <c r="D350" i="9"/>
  <c r="F350" i="9"/>
  <c r="G350" i="9" s="1"/>
  <c r="B341" i="9" l="1"/>
  <c r="J342" i="9"/>
  <c r="I350" i="9"/>
  <c r="H350" i="9"/>
  <c r="E351" i="9"/>
  <c r="C352" i="9"/>
  <c r="D351" i="9"/>
  <c r="F351" i="9"/>
  <c r="G351" i="9" s="1"/>
  <c r="B342" i="9" l="1"/>
  <c r="J343" i="9"/>
  <c r="I351" i="9"/>
  <c r="D352" i="9"/>
  <c r="E352" i="9"/>
  <c r="C353" i="9"/>
  <c r="F352" i="9"/>
  <c r="G352" i="9" s="1"/>
  <c r="H351" i="9"/>
  <c r="B343" i="9" l="1"/>
  <c r="J344" i="9"/>
  <c r="D353" i="9"/>
  <c r="F353" i="9"/>
  <c r="H353" i="9" s="1"/>
  <c r="E353" i="9"/>
  <c r="C354" i="9"/>
  <c r="I352" i="9"/>
  <c r="H352" i="9"/>
  <c r="B344" i="9" l="1"/>
  <c r="J345" i="9"/>
  <c r="I353" i="9"/>
  <c r="G353" i="9"/>
  <c r="F354" i="9"/>
  <c r="G354" i="9" s="1"/>
  <c r="D354" i="9"/>
  <c r="E354" i="9"/>
  <c r="C355" i="9"/>
  <c r="B345" i="9" l="1"/>
  <c r="J346" i="9"/>
  <c r="I354" i="9"/>
  <c r="H354" i="9"/>
  <c r="F355" i="9"/>
  <c r="H355" i="9" s="1"/>
  <c r="E355" i="9"/>
  <c r="C356" i="9"/>
  <c r="D355" i="9"/>
  <c r="B346" i="9" l="1"/>
  <c r="J347" i="9"/>
  <c r="C357" i="9"/>
  <c r="E356" i="9"/>
  <c r="D356" i="9"/>
  <c r="F356" i="9"/>
  <c r="G355" i="9"/>
  <c r="I355" i="9"/>
  <c r="I356" i="9" l="1"/>
  <c r="J348" i="9"/>
  <c r="B347" i="9"/>
  <c r="G356" i="9"/>
  <c r="H356" i="9"/>
  <c r="D357" i="9"/>
  <c r="E357" i="9"/>
  <c r="C358" i="9"/>
  <c r="F357" i="9"/>
  <c r="G357" i="9" s="1"/>
  <c r="B348" i="9" l="1"/>
  <c r="J349" i="9"/>
  <c r="I357" i="9"/>
  <c r="H357" i="9"/>
  <c r="E358" i="9"/>
  <c r="C359" i="9"/>
  <c r="F358" i="9"/>
  <c r="G358" i="9" s="1"/>
  <c r="D358" i="9"/>
  <c r="B349" i="9" l="1"/>
  <c r="J350" i="9"/>
  <c r="I358" i="9"/>
  <c r="H358" i="9"/>
  <c r="F359" i="9"/>
  <c r="H359" i="9" s="1"/>
  <c r="C360" i="9"/>
  <c r="E359" i="9"/>
  <c r="D359" i="9"/>
  <c r="B350" i="9" l="1"/>
  <c r="J351" i="9"/>
  <c r="I359" i="9"/>
  <c r="G359" i="9"/>
  <c r="F360" i="9"/>
  <c r="G360" i="9" s="1"/>
  <c r="C361" i="9"/>
  <c r="E360" i="9"/>
  <c r="D360" i="9"/>
  <c r="J352" i="9" l="1"/>
  <c r="B351" i="9"/>
  <c r="I360" i="9"/>
  <c r="H360" i="9"/>
  <c r="D361" i="9"/>
  <c r="F361" i="9"/>
  <c r="H361" i="9" s="1"/>
  <c r="E361" i="9"/>
  <c r="C362" i="9"/>
  <c r="J353" i="9" l="1"/>
  <c r="B352" i="9"/>
  <c r="I361" i="9"/>
  <c r="G361" i="9"/>
  <c r="F362" i="9"/>
  <c r="H362" i="9" s="1"/>
  <c r="D362" i="9"/>
  <c r="E362" i="9"/>
  <c r="C363" i="9"/>
  <c r="B353" i="9" l="1"/>
  <c r="J354" i="9"/>
  <c r="G362" i="9"/>
  <c r="I362" i="9"/>
  <c r="D363" i="9"/>
  <c r="F363" i="9"/>
  <c r="G363" i="9" s="1"/>
  <c r="E363" i="9"/>
  <c r="C364" i="9"/>
  <c r="J355" i="9" l="1"/>
  <c r="B354" i="9"/>
  <c r="I363" i="9"/>
  <c r="H363" i="9"/>
  <c r="F364" i="9"/>
  <c r="G364" i="9" s="1"/>
  <c r="D364" i="9"/>
  <c r="E364" i="9"/>
  <c r="C365" i="9"/>
  <c r="B355" i="9" l="1"/>
  <c r="J356" i="9"/>
  <c r="I364" i="9"/>
  <c r="C366" i="9"/>
  <c r="D365" i="9"/>
  <c r="F365" i="9"/>
  <c r="H365" i="9" s="1"/>
  <c r="E365" i="9"/>
  <c r="H364" i="9"/>
  <c r="J357" i="9" l="1"/>
  <c r="B356" i="9"/>
  <c r="I365" i="9"/>
  <c r="G365" i="9"/>
  <c r="C367" i="9"/>
  <c r="F366" i="9"/>
  <c r="G366" i="9" s="1"/>
  <c r="D366" i="9"/>
  <c r="E366" i="9"/>
  <c r="B357" i="9" l="1"/>
  <c r="J358" i="9"/>
  <c r="I366" i="9"/>
  <c r="H366" i="9"/>
  <c r="D367" i="9"/>
  <c r="F367" i="9"/>
  <c r="H367" i="9" s="1"/>
  <c r="C368" i="9"/>
  <c r="E367" i="9"/>
  <c r="B358" i="9" l="1"/>
  <c r="J359" i="9"/>
  <c r="E368" i="9"/>
  <c r="F368" i="9"/>
  <c r="H368" i="9" s="1"/>
  <c r="C369" i="9"/>
  <c r="D368" i="9"/>
  <c r="G367" i="9"/>
  <c r="I367" i="9"/>
  <c r="B359" i="9" l="1"/>
  <c r="J360" i="9"/>
  <c r="D369" i="9"/>
  <c r="F369" i="9"/>
  <c r="G369" i="9" s="1"/>
  <c r="E369" i="9"/>
  <c r="C370" i="9"/>
  <c r="I368" i="9"/>
  <c r="G368" i="9"/>
  <c r="B360" i="9" l="1"/>
  <c r="J361" i="9"/>
  <c r="C371" i="9"/>
  <c r="D370" i="9"/>
  <c r="E370" i="9"/>
  <c r="F370" i="9"/>
  <c r="H370" i="9" s="1"/>
  <c r="H369" i="9"/>
  <c r="I369" i="9"/>
  <c r="B361" i="9" l="1"/>
  <c r="J362" i="9"/>
  <c r="I370" i="9"/>
  <c r="G370" i="9"/>
  <c r="D371" i="9"/>
  <c r="E371" i="9"/>
  <c r="C372" i="9"/>
  <c r="F371" i="9"/>
  <c r="H371" i="9" s="1"/>
  <c r="B362" i="9" l="1"/>
  <c r="J363" i="9"/>
  <c r="I371" i="9"/>
  <c r="C373" i="9"/>
  <c r="D372" i="9"/>
  <c r="F372" i="9"/>
  <c r="H372" i="9" s="1"/>
  <c r="E372" i="9"/>
  <c r="G371" i="9"/>
  <c r="B363" i="9" l="1"/>
  <c r="J364" i="9"/>
  <c r="I372" i="9"/>
  <c r="G372" i="9"/>
  <c r="D373" i="9"/>
  <c r="E373" i="9"/>
  <c r="C374" i="9"/>
  <c r="F373" i="9"/>
  <c r="H373" i="9" s="1"/>
  <c r="B364" i="9" l="1"/>
  <c r="J365" i="9"/>
  <c r="I373" i="9"/>
  <c r="E374" i="9"/>
  <c r="C375" i="9"/>
  <c r="D374" i="9"/>
  <c r="F374" i="9"/>
  <c r="H374" i="9" s="1"/>
  <c r="G373" i="9"/>
  <c r="B365" i="9" l="1"/>
  <c r="J366" i="9"/>
  <c r="I374" i="9"/>
  <c r="D375" i="9"/>
  <c r="F375" i="9"/>
  <c r="G375" i="9" s="1"/>
  <c r="C376" i="9"/>
  <c r="E375" i="9"/>
  <c r="G374" i="9"/>
  <c r="B366" i="9" l="1"/>
  <c r="J367" i="9"/>
  <c r="H375" i="9"/>
  <c r="D376" i="9"/>
  <c r="F376" i="9"/>
  <c r="G376" i="9" s="1"/>
  <c r="C377" i="9"/>
  <c r="E376" i="9"/>
  <c r="I375" i="9"/>
  <c r="J368" i="9" l="1"/>
  <c r="B367" i="9"/>
  <c r="H376" i="9"/>
  <c r="F377" i="9"/>
  <c r="G377" i="9" s="1"/>
  <c r="E377" i="9"/>
  <c r="C378" i="9"/>
  <c r="D377" i="9"/>
  <c r="I376" i="9"/>
  <c r="J369" i="9" l="1"/>
  <c r="B368" i="9"/>
  <c r="H377" i="9"/>
  <c r="I377" i="9"/>
  <c r="C379" i="9"/>
  <c r="F378" i="9"/>
  <c r="H378" i="9" s="1"/>
  <c r="D378" i="9"/>
  <c r="E378" i="9"/>
  <c r="B369" i="9" l="1"/>
  <c r="J370" i="9"/>
  <c r="I378" i="9"/>
  <c r="G378" i="9"/>
  <c r="C380" i="9"/>
  <c r="D379" i="9"/>
  <c r="F379" i="9"/>
  <c r="G379" i="9" s="1"/>
  <c r="E379" i="9"/>
  <c r="B370" i="9" l="1"/>
  <c r="J371" i="9"/>
  <c r="I379" i="9"/>
  <c r="H379" i="9"/>
  <c r="E380" i="9"/>
  <c r="C381" i="9"/>
  <c r="F380" i="9"/>
  <c r="H380" i="9" s="1"/>
  <c r="D380" i="9"/>
  <c r="B371" i="9" l="1"/>
  <c r="J372" i="9"/>
  <c r="I380" i="9"/>
  <c r="D381" i="9"/>
  <c r="E381" i="9"/>
  <c r="F381" i="9"/>
  <c r="G381" i="9" s="1"/>
  <c r="C382" i="9"/>
  <c r="G380" i="9"/>
  <c r="B372" i="9" l="1"/>
  <c r="J373" i="9"/>
  <c r="E382" i="9"/>
  <c r="D382" i="9"/>
  <c r="C383" i="9"/>
  <c r="F382" i="9"/>
  <c r="H382" i="9" s="1"/>
  <c r="H381" i="9"/>
  <c r="I381" i="9"/>
  <c r="B373" i="9" l="1"/>
  <c r="J374" i="9"/>
  <c r="I382" i="9"/>
  <c r="D383" i="9"/>
  <c r="F383" i="9"/>
  <c r="H383" i="9" s="1"/>
  <c r="C384" i="9"/>
  <c r="E383" i="9"/>
  <c r="G382" i="9"/>
  <c r="B374" i="9" l="1"/>
  <c r="J375" i="9"/>
  <c r="D384" i="9"/>
  <c r="F384" i="9"/>
  <c r="H384" i="9" s="1"/>
  <c r="E384" i="9"/>
  <c r="C385" i="9"/>
  <c r="G383" i="9"/>
  <c r="I383" i="9"/>
  <c r="J376" i="9" l="1"/>
  <c r="B375" i="9"/>
  <c r="E385" i="9"/>
  <c r="C386" i="9"/>
  <c r="D385" i="9"/>
  <c r="F385" i="9"/>
  <c r="H385" i="9" s="1"/>
  <c r="G384" i="9"/>
  <c r="I384" i="9"/>
  <c r="B376" i="9" l="1"/>
  <c r="J377" i="9"/>
  <c r="I385" i="9"/>
  <c r="E386" i="9"/>
  <c r="C387" i="9"/>
  <c r="F386" i="9"/>
  <c r="G386" i="9" s="1"/>
  <c r="D386" i="9"/>
  <c r="G385" i="9"/>
  <c r="B377" i="9" l="1"/>
  <c r="J378" i="9"/>
  <c r="I386" i="9"/>
  <c r="H386" i="9"/>
  <c r="F387" i="9"/>
  <c r="G387" i="9" s="1"/>
  <c r="E387" i="9"/>
  <c r="D387" i="9"/>
  <c r="C388" i="9"/>
  <c r="B378" i="9" l="1"/>
  <c r="J379" i="9"/>
  <c r="I387" i="9"/>
  <c r="H387" i="9"/>
  <c r="D388" i="9"/>
  <c r="E388" i="9"/>
  <c r="F388" i="9"/>
  <c r="G388" i="9" s="1"/>
  <c r="C389" i="9"/>
  <c r="B379" i="9" l="1"/>
  <c r="J380" i="9"/>
  <c r="I388" i="9"/>
  <c r="H388" i="9"/>
  <c r="D389" i="9"/>
  <c r="E389" i="9"/>
  <c r="C390" i="9"/>
  <c r="F389" i="9"/>
  <c r="H389" i="9" s="1"/>
  <c r="B380" i="9" l="1"/>
  <c r="J381" i="9"/>
  <c r="I389" i="9"/>
  <c r="F390" i="9"/>
  <c r="G390" i="9" s="1"/>
  <c r="D390" i="9"/>
  <c r="E390" i="9"/>
  <c r="C391" i="9"/>
  <c r="G389" i="9"/>
  <c r="B381" i="9" l="1"/>
  <c r="J382" i="9"/>
  <c r="I390" i="9"/>
  <c r="D391" i="9"/>
  <c r="C392" i="9"/>
  <c r="F391" i="9"/>
  <c r="H391" i="9" s="1"/>
  <c r="E391" i="9"/>
  <c r="H390" i="9"/>
  <c r="B382" i="9" l="1"/>
  <c r="J383" i="9"/>
  <c r="G391" i="9"/>
  <c r="D392" i="9"/>
  <c r="F392" i="9"/>
  <c r="G392" i="9" s="1"/>
  <c r="E392" i="9"/>
  <c r="C393" i="9"/>
  <c r="I391" i="9"/>
  <c r="B383" i="9" l="1"/>
  <c r="J384" i="9"/>
  <c r="I392" i="9"/>
  <c r="H392" i="9"/>
  <c r="C394" i="9"/>
  <c r="D393" i="9"/>
  <c r="E393" i="9"/>
  <c r="F393" i="9"/>
  <c r="H393" i="9" s="1"/>
  <c r="J385" i="9" l="1"/>
  <c r="B384" i="9"/>
  <c r="I393" i="9"/>
  <c r="G393" i="9"/>
  <c r="C395" i="9"/>
  <c r="D394" i="9"/>
  <c r="F394" i="9"/>
  <c r="G394" i="9" s="1"/>
  <c r="E394" i="9"/>
  <c r="B385" i="9" l="1"/>
  <c r="J386" i="9"/>
  <c r="I394" i="9"/>
  <c r="D395" i="9"/>
  <c r="E395" i="9"/>
  <c r="F395" i="9"/>
  <c r="H395" i="9" s="1"/>
  <c r="C396" i="9"/>
  <c r="H394" i="9"/>
  <c r="B386" i="9" l="1"/>
  <c r="J387" i="9"/>
  <c r="F396" i="9"/>
  <c r="G396" i="9" s="1"/>
  <c r="D396" i="9"/>
  <c r="E396" i="9"/>
  <c r="C397" i="9"/>
  <c r="G395" i="9"/>
  <c r="I395" i="9"/>
  <c r="B387" i="9" l="1"/>
  <c r="J388" i="9"/>
  <c r="H396" i="9"/>
  <c r="E397" i="9"/>
  <c r="C398" i="9"/>
  <c r="D397" i="9"/>
  <c r="F397" i="9"/>
  <c r="I396" i="9"/>
  <c r="B388" i="9" l="1"/>
  <c r="J389" i="9"/>
  <c r="I397" i="9"/>
  <c r="F398" i="9"/>
  <c r="G398" i="9" s="1"/>
  <c r="D398" i="9"/>
  <c r="E398" i="9"/>
  <c r="C399" i="9"/>
  <c r="H397" i="9"/>
  <c r="G397" i="9"/>
  <c r="B389" i="9" l="1"/>
  <c r="J390" i="9"/>
  <c r="H398" i="9"/>
  <c r="D399" i="9"/>
  <c r="F399" i="9"/>
  <c r="G399" i="9" s="1"/>
  <c r="C400" i="9"/>
  <c r="E399" i="9"/>
  <c r="I398" i="9"/>
  <c r="B390" i="9" l="1"/>
  <c r="J391" i="9"/>
  <c r="C401" i="9"/>
  <c r="D400" i="9"/>
  <c r="F400" i="9"/>
  <c r="G400" i="9" s="1"/>
  <c r="E400" i="9"/>
  <c r="H399" i="9"/>
  <c r="I399" i="9"/>
  <c r="J392" i="9" l="1"/>
  <c r="B391" i="9"/>
  <c r="I400" i="9"/>
  <c r="H400" i="9"/>
  <c r="C402" i="9"/>
  <c r="D401" i="9"/>
  <c r="F401" i="9"/>
  <c r="H401" i="9" s="1"/>
  <c r="E401" i="9"/>
  <c r="J393" i="9" l="1"/>
  <c r="B392" i="9"/>
  <c r="I401" i="9"/>
  <c r="G401" i="9"/>
  <c r="D402" i="9"/>
  <c r="E402" i="9"/>
  <c r="F402" i="9"/>
  <c r="G402" i="9" s="1"/>
  <c r="C403" i="9"/>
  <c r="B393" i="9" l="1"/>
  <c r="J394" i="9"/>
  <c r="I402" i="9"/>
  <c r="H402" i="9"/>
  <c r="D403" i="9"/>
  <c r="F403" i="9"/>
  <c r="G403" i="9" s="1"/>
  <c r="E403" i="9"/>
  <c r="C404" i="9"/>
  <c r="B394" i="9" l="1"/>
  <c r="J395" i="9"/>
  <c r="H403" i="9"/>
  <c r="I403" i="9"/>
  <c r="D404" i="9"/>
  <c r="F404" i="9"/>
  <c r="G404" i="9" s="1"/>
  <c r="C405" i="9"/>
  <c r="E404" i="9"/>
  <c r="B395" i="9" l="1"/>
  <c r="J396" i="9"/>
  <c r="I404" i="9"/>
  <c r="H404" i="9"/>
  <c r="F405" i="9"/>
  <c r="H405" i="9" s="1"/>
  <c r="D405" i="9"/>
  <c r="C406" i="9"/>
  <c r="E405" i="9"/>
  <c r="B396" i="9" l="1"/>
  <c r="J397" i="9"/>
  <c r="I405" i="9"/>
  <c r="G405" i="9"/>
  <c r="F406" i="9"/>
  <c r="G406" i="9" s="1"/>
  <c r="C407" i="9"/>
  <c r="D406" i="9"/>
  <c r="E406" i="9"/>
  <c r="J398" i="9" l="1"/>
  <c r="B397" i="9"/>
  <c r="I406" i="9"/>
  <c r="H406" i="9"/>
  <c r="F407" i="9"/>
  <c r="G407" i="9" s="1"/>
  <c r="E407" i="9"/>
  <c r="D407" i="9"/>
  <c r="C408" i="9"/>
  <c r="J399" i="9" l="1"/>
  <c r="B398" i="9"/>
  <c r="I407" i="9"/>
  <c r="H407" i="9"/>
  <c r="F408" i="9"/>
  <c r="G408" i="9" s="1"/>
  <c r="E408" i="9"/>
  <c r="C409" i="9"/>
  <c r="D408" i="9"/>
  <c r="J400" i="9" l="1"/>
  <c r="B399" i="9"/>
  <c r="I408" i="9"/>
  <c r="C410" i="9"/>
  <c r="D409" i="9"/>
  <c r="F409" i="9"/>
  <c r="G409" i="9" s="1"/>
  <c r="E409" i="9"/>
  <c r="H408" i="9"/>
  <c r="J401" i="9" l="1"/>
  <c r="B400" i="9"/>
  <c r="I409" i="9"/>
  <c r="H409" i="9"/>
  <c r="F410" i="9"/>
  <c r="H410" i="9" s="1"/>
  <c r="D410" i="9"/>
  <c r="E410" i="9"/>
  <c r="C411" i="9"/>
  <c r="B401" i="9" l="1"/>
  <c r="J402" i="9"/>
  <c r="I410" i="9"/>
  <c r="D411" i="9"/>
  <c r="F411" i="9"/>
  <c r="H411" i="9" s="1"/>
  <c r="E411" i="9"/>
  <c r="C412" i="9"/>
  <c r="G410" i="9"/>
  <c r="J403" i="9" l="1"/>
  <c r="B402" i="9"/>
  <c r="I411" i="9"/>
  <c r="G411" i="9"/>
  <c r="C413" i="9"/>
  <c r="F412" i="9"/>
  <c r="G412" i="9" s="1"/>
  <c r="D412" i="9"/>
  <c r="E412" i="9"/>
  <c r="J404" i="9" l="1"/>
  <c r="B403" i="9"/>
  <c r="I412" i="9"/>
  <c r="H412" i="9"/>
  <c r="F413" i="9"/>
  <c r="G413" i="9" s="1"/>
  <c r="D413" i="9"/>
  <c r="E413" i="9"/>
  <c r="C414" i="9"/>
  <c r="B404" i="9" l="1"/>
  <c r="J405" i="9"/>
  <c r="I413" i="9"/>
  <c r="H413" i="9"/>
  <c r="C415" i="9"/>
  <c r="F414" i="9"/>
  <c r="G414" i="9" s="1"/>
  <c r="D414" i="9"/>
  <c r="E414" i="9"/>
  <c r="J406" i="9" l="1"/>
  <c r="B405" i="9"/>
  <c r="I414" i="9"/>
  <c r="D415" i="9"/>
  <c r="E415" i="9"/>
  <c r="C416" i="9"/>
  <c r="F415" i="9"/>
  <c r="G415" i="9" s="1"/>
  <c r="H414" i="9"/>
  <c r="B406" i="9" l="1"/>
  <c r="J407" i="9"/>
  <c r="I415" i="9"/>
  <c r="F416" i="9"/>
  <c r="H416" i="9" s="1"/>
  <c r="E416" i="9"/>
  <c r="C417" i="9"/>
  <c r="D416" i="9"/>
  <c r="H415" i="9"/>
  <c r="B407" i="9" l="1"/>
  <c r="J408" i="9"/>
  <c r="I416" i="9"/>
  <c r="D417" i="9"/>
  <c r="E417" i="9"/>
  <c r="F417" i="9"/>
  <c r="H417" i="9" s="1"/>
  <c r="C418" i="9"/>
  <c r="G416" i="9"/>
  <c r="B408" i="9" l="1"/>
  <c r="J409" i="9"/>
  <c r="C419" i="9"/>
  <c r="F418" i="9"/>
  <c r="H418" i="9" s="1"/>
  <c r="D418" i="9"/>
  <c r="E418" i="9"/>
  <c r="G417" i="9"/>
  <c r="I417" i="9"/>
  <c r="B409" i="9" l="1"/>
  <c r="J410" i="9"/>
  <c r="I418" i="9"/>
  <c r="G418" i="9"/>
  <c r="D419" i="9"/>
  <c r="E419" i="9"/>
  <c r="F419" i="9"/>
  <c r="G419" i="9" s="1"/>
  <c r="C420" i="9"/>
  <c r="B410" i="9" l="1"/>
  <c r="J411" i="9"/>
  <c r="H419" i="9"/>
  <c r="I419" i="9"/>
  <c r="C421" i="9"/>
  <c r="F420" i="9"/>
  <c r="H420" i="9" s="1"/>
  <c r="E420" i="9"/>
  <c r="D420" i="9"/>
  <c r="B411" i="9" l="1"/>
  <c r="J412" i="9"/>
  <c r="G420" i="9"/>
  <c r="C422" i="9"/>
  <c r="F421" i="9"/>
  <c r="H421" i="9" s="1"/>
  <c r="D421" i="9"/>
  <c r="E421" i="9"/>
  <c r="I420" i="9"/>
  <c r="B412" i="9" l="1"/>
  <c r="J413" i="9"/>
  <c r="I421" i="9"/>
  <c r="G421" i="9"/>
  <c r="F422" i="9"/>
  <c r="G422" i="9" s="1"/>
  <c r="D422" i="9"/>
  <c r="E422" i="9"/>
  <c r="C423" i="9"/>
  <c r="J414" i="9" l="1"/>
  <c r="B413" i="9"/>
  <c r="I422" i="9"/>
  <c r="H422" i="9"/>
  <c r="C424" i="9"/>
  <c r="F423" i="9"/>
  <c r="H423" i="9" s="1"/>
  <c r="E423" i="9"/>
  <c r="D423" i="9"/>
  <c r="J415" i="9" l="1"/>
  <c r="B414" i="9"/>
  <c r="I423" i="9"/>
  <c r="G423" i="9"/>
  <c r="D424" i="9"/>
  <c r="F424" i="9"/>
  <c r="H424" i="9" s="1"/>
  <c r="E424" i="9"/>
  <c r="C425" i="9"/>
  <c r="B415" i="9" l="1"/>
  <c r="J416" i="9"/>
  <c r="I424" i="9"/>
  <c r="G424" i="9"/>
  <c r="F425" i="9"/>
  <c r="H425" i="9" s="1"/>
  <c r="E425" i="9"/>
  <c r="C426" i="9"/>
  <c r="D425" i="9"/>
  <c r="B416" i="9" l="1"/>
  <c r="J417" i="9"/>
  <c r="G425" i="9"/>
  <c r="I425" i="9"/>
  <c r="D426" i="9"/>
  <c r="C427" i="9"/>
  <c r="F426" i="9"/>
  <c r="H426" i="9" s="1"/>
  <c r="E426" i="9"/>
  <c r="J418" i="9" l="1"/>
  <c r="B417" i="9"/>
  <c r="G426" i="9"/>
  <c r="C428" i="9"/>
  <c r="D427" i="9"/>
  <c r="E427" i="9"/>
  <c r="F427" i="9"/>
  <c r="H427" i="9" s="1"/>
  <c r="I426" i="9"/>
  <c r="B418" i="9" l="1"/>
  <c r="J419" i="9"/>
  <c r="I427" i="9"/>
  <c r="G427" i="9"/>
  <c r="F428" i="9"/>
  <c r="G428" i="9" s="1"/>
  <c r="D428" i="9"/>
  <c r="E428" i="9"/>
  <c r="C429" i="9"/>
  <c r="B419" i="9" l="1"/>
  <c r="J420" i="9"/>
  <c r="H428" i="9"/>
  <c r="I428" i="9"/>
  <c r="C430" i="9"/>
  <c r="D429" i="9"/>
  <c r="F429" i="9"/>
  <c r="H429" i="9" s="1"/>
  <c r="E429" i="9"/>
  <c r="J421" i="9" l="1"/>
  <c r="B420" i="9"/>
  <c r="I429" i="9"/>
  <c r="G429" i="9"/>
  <c r="F430" i="9"/>
  <c r="G430" i="9" s="1"/>
  <c r="E430" i="9"/>
  <c r="C431" i="9"/>
  <c r="D430" i="9"/>
  <c r="B421" i="9" l="1"/>
  <c r="J422" i="9"/>
  <c r="H430" i="9"/>
  <c r="I430" i="9"/>
  <c r="C432" i="9"/>
  <c r="D431" i="9"/>
  <c r="F431" i="9"/>
  <c r="H431" i="9" s="1"/>
  <c r="E431" i="9"/>
  <c r="J423" i="9" l="1"/>
  <c r="B422" i="9"/>
  <c r="I431" i="9"/>
  <c r="G431" i="9"/>
  <c r="E432" i="9"/>
  <c r="F432" i="9"/>
  <c r="G432" i="9" s="1"/>
  <c r="C433" i="9"/>
  <c r="D432" i="9"/>
  <c r="B423" i="9" l="1"/>
  <c r="J424" i="9"/>
  <c r="E433" i="9"/>
  <c r="C434" i="9"/>
  <c r="D433" i="9"/>
  <c r="F433" i="9"/>
  <c r="G433" i="9" s="1"/>
  <c r="I432" i="9"/>
  <c r="H432" i="9"/>
  <c r="B424" i="9" l="1"/>
  <c r="J425" i="9"/>
  <c r="I433" i="9"/>
  <c r="H433" i="9"/>
  <c r="C435" i="9"/>
  <c r="F434" i="9"/>
  <c r="G434" i="9" s="1"/>
  <c r="E434" i="9"/>
  <c r="D434" i="9"/>
  <c r="B425" i="9" l="1"/>
  <c r="J426" i="9"/>
  <c r="H434" i="9"/>
  <c r="F435" i="9"/>
  <c r="G435" i="9" s="1"/>
  <c r="E435" i="9"/>
  <c r="D435" i="9"/>
  <c r="C436" i="9"/>
  <c r="I434" i="9"/>
  <c r="B426" i="9" l="1"/>
  <c r="J427" i="9"/>
  <c r="I435" i="9"/>
  <c r="H435" i="9"/>
  <c r="C437" i="9"/>
  <c r="D436" i="9"/>
  <c r="F436" i="9"/>
  <c r="H436" i="9" s="1"/>
  <c r="E436" i="9"/>
  <c r="B427" i="9" l="1"/>
  <c r="J428" i="9"/>
  <c r="I436" i="9"/>
  <c r="G436" i="9"/>
  <c r="C438" i="9"/>
  <c r="D437" i="9"/>
  <c r="E437" i="9"/>
  <c r="F437" i="9"/>
  <c r="H437" i="9" s="1"/>
  <c r="B428" i="9" l="1"/>
  <c r="J429" i="9"/>
  <c r="I437" i="9"/>
  <c r="G437" i="9"/>
  <c r="D438" i="9"/>
  <c r="E438" i="9"/>
  <c r="C439" i="9"/>
  <c r="F438" i="9"/>
  <c r="H438" i="9" s="1"/>
  <c r="B429" i="9" l="1"/>
  <c r="J430" i="9"/>
  <c r="G438" i="9"/>
  <c r="I438" i="9"/>
  <c r="E439" i="9"/>
  <c r="F439" i="9"/>
  <c r="G439" i="9" s="1"/>
  <c r="D439" i="9"/>
  <c r="C440" i="9"/>
  <c r="B430" i="9" l="1"/>
  <c r="J431" i="9"/>
  <c r="I439" i="9"/>
  <c r="H439" i="9"/>
  <c r="D440" i="9"/>
  <c r="F440" i="9"/>
  <c r="G440" i="9" s="1"/>
  <c r="E440" i="9"/>
  <c r="C441" i="9"/>
  <c r="B431" i="9" l="1"/>
  <c r="J432" i="9"/>
  <c r="I440" i="9"/>
  <c r="H440" i="9"/>
  <c r="D441" i="9"/>
  <c r="F441" i="9"/>
  <c r="H441" i="9" s="1"/>
  <c r="E441" i="9"/>
  <c r="C442" i="9"/>
  <c r="B432" i="9" l="1"/>
  <c r="J433" i="9"/>
  <c r="I441" i="9"/>
  <c r="G441" i="9"/>
  <c r="D442" i="9"/>
  <c r="E442" i="9"/>
  <c r="C443" i="9"/>
  <c r="F442" i="9"/>
  <c r="B433" i="9" l="1"/>
  <c r="J434" i="9"/>
  <c r="I442" i="9"/>
  <c r="C444" i="9"/>
  <c r="D443" i="9"/>
  <c r="E443" i="9"/>
  <c r="F443" i="9"/>
  <c r="H443" i="9" s="1"/>
  <c r="H442" i="9"/>
  <c r="G442" i="9"/>
  <c r="B434" i="9" l="1"/>
  <c r="J435" i="9"/>
  <c r="I443" i="9"/>
  <c r="G443" i="9"/>
  <c r="C445" i="9"/>
  <c r="F444" i="9"/>
  <c r="G444" i="9" s="1"/>
  <c r="D444" i="9"/>
  <c r="E444" i="9"/>
  <c r="J436" i="9" l="1"/>
  <c r="B435" i="9"/>
  <c r="I444" i="9"/>
  <c r="H444" i="9"/>
  <c r="D445" i="9"/>
  <c r="E445" i="9"/>
  <c r="C446" i="9"/>
  <c r="F445" i="9"/>
  <c r="H445" i="9" s="1"/>
  <c r="B436" i="9" l="1"/>
  <c r="J437" i="9"/>
  <c r="E446" i="9"/>
  <c r="C447" i="9"/>
  <c r="D446" i="9"/>
  <c r="F446" i="9"/>
  <c r="G446" i="9" s="1"/>
  <c r="G445" i="9"/>
  <c r="I445" i="9"/>
  <c r="B437" i="9" l="1"/>
  <c r="J438" i="9"/>
  <c r="I446" i="9"/>
  <c r="H446" i="9"/>
  <c r="C448" i="9"/>
  <c r="D447" i="9"/>
  <c r="E447" i="9"/>
  <c r="F447" i="9"/>
  <c r="H447" i="9" s="1"/>
  <c r="B438" i="9" l="1"/>
  <c r="J439" i="9"/>
  <c r="I447" i="9"/>
  <c r="G447" i="9"/>
  <c r="D448" i="9"/>
  <c r="F448" i="9"/>
  <c r="G448" i="9" s="1"/>
  <c r="C449" i="9"/>
  <c r="E448" i="9"/>
  <c r="B439" i="9" l="1"/>
  <c r="J440" i="9"/>
  <c r="I448" i="9"/>
  <c r="D449" i="9"/>
  <c r="E449" i="9"/>
  <c r="F449" i="9"/>
  <c r="G449" i="9" s="1"/>
  <c r="C450" i="9"/>
  <c r="H448" i="9"/>
  <c r="B440" i="9" l="1"/>
  <c r="J441" i="9"/>
  <c r="C451" i="9"/>
  <c r="F450" i="9"/>
  <c r="H450" i="9" s="1"/>
  <c r="D450" i="9"/>
  <c r="E450" i="9"/>
  <c r="H449" i="9"/>
  <c r="I449" i="9"/>
  <c r="B441" i="9" l="1"/>
  <c r="J442" i="9"/>
  <c r="I450" i="9"/>
  <c r="G450" i="9"/>
  <c r="F451" i="9"/>
  <c r="G451" i="9" s="1"/>
  <c r="E451" i="9"/>
  <c r="C452" i="9"/>
  <c r="D451" i="9"/>
  <c r="B442" i="9" l="1"/>
  <c r="J443" i="9"/>
  <c r="C453" i="9"/>
  <c r="D452" i="9"/>
  <c r="F452" i="9"/>
  <c r="H452" i="9" s="1"/>
  <c r="E452" i="9"/>
  <c r="I451" i="9"/>
  <c r="H451" i="9"/>
  <c r="J444" i="9" l="1"/>
  <c r="B443" i="9"/>
  <c r="I452" i="9"/>
  <c r="G452" i="9"/>
  <c r="C454" i="9"/>
  <c r="F453" i="9"/>
  <c r="G453" i="9" s="1"/>
  <c r="D453" i="9"/>
  <c r="E453" i="9"/>
  <c r="J445" i="9" l="1"/>
  <c r="B444" i="9"/>
  <c r="I453" i="9"/>
  <c r="H453" i="9"/>
  <c r="F454" i="9"/>
  <c r="G454" i="9" s="1"/>
  <c r="D454" i="9"/>
  <c r="E454" i="9"/>
  <c r="C455" i="9"/>
  <c r="B445" i="9" l="1"/>
  <c r="J446" i="9"/>
  <c r="I454" i="9"/>
  <c r="H454" i="9"/>
  <c r="D455" i="9"/>
  <c r="C456" i="9"/>
  <c r="F455" i="9"/>
  <c r="G455" i="9" s="1"/>
  <c r="E455" i="9"/>
  <c r="J447" i="9" l="1"/>
  <c r="B446" i="9"/>
  <c r="I455" i="9"/>
  <c r="F456" i="9"/>
  <c r="E456" i="9"/>
  <c r="D456" i="9"/>
  <c r="C457" i="9"/>
  <c r="H455" i="9"/>
  <c r="B447" i="9" l="1"/>
  <c r="J448" i="9"/>
  <c r="I456" i="9"/>
  <c r="H456" i="9"/>
  <c r="D457" i="9"/>
  <c r="F457" i="9"/>
  <c r="H457" i="9" s="1"/>
  <c r="E457" i="9"/>
  <c r="C458" i="9"/>
  <c r="G456" i="9"/>
  <c r="B448" i="9" l="1"/>
  <c r="J449" i="9"/>
  <c r="I457" i="9"/>
  <c r="G457" i="9"/>
  <c r="E458" i="9"/>
  <c r="D458" i="9"/>
  <c r="C459" i="9"/>
  <c r="F458" i="9"/>
  <c r="H458" i="9" s="1"/>
  <c r="B449" i="9" l="1"/>
  <c r="J450" i="9"/>
  <c r="G458" i="9"/>
  <c r="C460" i="9"/>
  <c r="D459" i="9"/>
  <c r="F459" i="9"/>
  <c r="H459" i="9" s="1"/>
  <c r="E459" i="9"/>
  <c r="I458" i="9"/>
  <c r="B450" i="9" l="1"/>
  <c r="J451" i="9"/>
  <c r="I459" i="9"/>
  <c r="F460" i="9"/>
  <c r="G460" i="9" s="1"/>
  <c r="D460" i="9"/>
  <c r="E460" i="9"/>
  <c r="C461" i="9"/>
  <c r="G459" i="9"/>
  <c r="J452" i="9" l="1"/>
  <c r="B451" i="9"/>
  <c r="H460" i="9"/>
  <c r="E461" i="9"/>
  <c r="D461" i="9"/>
  <c r="F461" i="9"/>
  <c r="I461" i="9" s="1"/>
  <c r="C462" i="9"/>
  <c r="I460" i="9"/>
  <c r="B452" i="9" l="1"/>
  <c r="J453" i="9"/>
  <c r="H461" i="9"/>
  <c r="G461" i="9"/>
  <c r="E462" i="9"/>
  <c r="C463" i="9"/>
  <c r="F462" i="9"/>
  <c r="G462" i="9" s="1"/>
  <c r="D462" i="9"/>
  <c r="B453" i="9" l="1"/>
  <c r="J454" i="9"/>
  <c r="I462" i="9"/>
  <c r="D463" i="9"/>
  <c r="F463" i="9"/>
  <c r="G463" i="9" s="1"/>
  <c r="E463" i="9"/>
  <c r="C464" i="9"/>
  <c r="H462" i="9"/>
  <c r="B454" i="9" l="1"/>
  <c r="J455" i="9"/>
  <c r="H463" i="9"/>
  <c r="D464" i="9"/>
  <c r="F464" i="9"/>
  <c r="G464" i="9" s="1"/>
  <c r="E464" i="9"/>
  <c r="C465" i="9"/>
  <c r="I463" i="9"/>
  <c r="J456" i="9" l="1"/>
  <c r="B455" i="9"/>
  <c r="I464" i="9"/>
  <c r="H464" i="9"/>
  <c r="F465" i="9"/>
  <c r="H465" i="9" s="1"/>
  <c r="E465" i="9"/>
  <c r="C466" i="9"/>
  <c r="D465" i="9"/>
  <c r="J457" i="9" l="1"/>
  <c r="B456" i="9"/>
  <c r="D466" i="9"/>
  <c r="E466" i="9"/>
  <c r="C467" i="9"/>
  <c r="F466" i="9"/>
  <c r="H466" i="9" s="1"/>
  <c r="I465" i="9"/>
  <c r="G465" i="9"/>
  <c r="J458" i="9" l="1"/>
  <c r="B457" i="9"/>
  <c r="E467" i="9"/>
  <c r="C468" i="9"/>
  <c r="D467" i="9"/>
  <c r="F467" i="9"/>
  <c r="H467" i="9" s="1"/>
  <c r="I466" i="9"/>
  <c r="G466" i="9"/>
  <c r="B458" i="9" l="1"/>
  <c r="J459" i="9"/>
  <c r="I467" i="9"/>
  <c r="G467" i="9"/>
  <c r="C469" i="9"/>
  <c r="D468" i="9"/>
  <c r="E468" i="9"/>
  <c r="F468" i="9"/>
  <c r="G468" i="9" s="1"/>
  <c r="B459" i="9" l="1"/>
  <c r="J460" i="9"/>
  <c r="I468" i="9"/>
  <c r="H468" i="9"/>
  <c r="E469" i="9"/>
  <c r="C470" i="9"/>
  <c r="F469" i="9"/>
  <c r="H469" i="9" s="1"/>
  <c r="D469" i="9"/>
  <c r="B460" i="9" l="1"/>
  <c r="J461" i="9"/>
  <c r="I469" i="9"/>
  <c r="G469" i="9"/>
  <c r="C471" i="9"/>
  <c r="E470" i="9"/>
  <c r="F470" i="9"/>
  <c r="G470" i="9" s="1"/>
  <c r="D470" i="9"/>
  <c r="B461" i="9" l="1"/>
  <c r="J462" i="9"/>
  <c r="I470" i="9"/>
  <c r="H470" i="9"/>
  <c r="C472" i="9"/>
  <c r="F471" i="9"/>
  <c r="G471" i="9" s="1"/>
  <c r="E471" i="9"/>
  <c r="D471" i="9"/>
  <c r="B462" i="9" l="1"/>
  <c r="J463" i="9"/>
  <c r="I471" i="9"/>
  <c r="H471" i="9"/>
  <c r="C473" i="9"/>
  <c r="D472" i="9"/>
  <c r="F472" i="9"/>
  <c r="G472" i="9" s="1"/>
  <c r="E472" i="9"/>
  <c r="B463" i="9" l="1"/>
  <c r="J464" i="9"/>
  <c r="I472" i="9"/>
  <c r="E473" i="9"/>
  <c r="C474" i="9"/>
  <c r="D473" i="9"/>
  <c r="F473" i="9"/>
  <c r="H473" i="9" s="1"/>
  <c r="H472" i="9"/>
  <c r="B464" i="9" l="1"/>
  <c r="J465" i="9"/>
  <c r="I473" i="9"/>
  <c r="D474" i="9"/>
  <c r="E474" i="9"/>
  <c r="C475" i="9"/>
  <c r="F474" i="9"/>
  <c r="G474" i="9" s="1"/>
  <c r="G473" i="9"/>
  <c r="B465" i="9" l="1"/>
  <c r="J466" i="9"/>
  <c r="I474" i="9"/>
  <c r="C476" i="9"/>
  <c r="D475" i="9"/>
  <c r="F475" i="9"/>
  <c r="G475" i="9" s="1"/>
  <c r="E475" i="9"/>
  <c r="H474" i="9"/>
  <c r="B466" i="9" l="1"/>
  <c r="J467" i="9"/>
  <c r="I475" i="9"/>
  <c r="H475" i="9"/>
  <c r="F476" i="9"/>
  <c r="G476" i="9" s="1"/>
  <c r="D476" i="9"/>
  <c r="E476" i="9"/>
  <c r="C477" i="9"/>
  <c r="B467" i="9" l="1"/>
  <c r="J468" i="9"/>
  <c r="I476" i="9"/>
  <c r="H476" i="9"/>
  <c r="F477" i="9"/>
  <c r="H477" i="9" s="1"/>
  <c r="D477" i="9"/>
  <c r="E477" i="9"/>
  <c r="C478" i="9"/>
  <c r="J469" i="9" l="1"/>
  <c r="B468" i="9"/>
  <c r="I477" i="9"/>
  <c r="G477" i="9"/>
  <c r="D478" i="9"/>
  <c r="E478" i="9"/>
  <c r="C479" i="9"/>
  <c r="F478" i="9"/>
  <c r="G478" i="9" s="1"/>
  <c r="B469" i="9" l="1"/>
  <c r="J470" i="9"/>
  <c r="F479" i="9"/>
  <c r="G479" i="9" s="1"/>
  <c r="E479" i="9"/>
  <c r="C480" i="9"/>
  <c r="D479" i="9"/>
  <c r="H478" i="9"/>
  <c r="I478" i="9"/>
  <c r="B470" i="9" l="1"/>
  <c r="J471" i="9"/>
  <c r="I479" i="9"/>
  <c r="F480" i="9"/>
  <c r="H480" i="9" s="1"/>
  <c r="E480" i="9"/>
  <c r="D480" i="9"/>
  <c r="C481" i="9"/>
  <c r="H479" i="9"/>
  <c r="B471" i="9" l="1"/>
  <c r="J472" i="9"/>
  <c r="I480" i="9"/>
  <c r="G480" i="9"/>
  <c r="D481" i="9"/>
  <c r="F481" i="9"/>
  <c r="H481" i="9" s="1"/>
  <c r="E481" i="9"/>
  <c r="C482" i="9"/>
  <c r="B472" i="9" l="1"/>
  <c r="J473" i="9"/>
  <c r="D482" i="9"/>
  <c r="C483" i="9"/>
  <c r="F482" i="9"/>
  <c r="G482" i="9" s="1"/>
  <c r="E482" i="9"/>
  <c r="I481" i="9"/>
  <c r="G481" i="9"/>
  <c r="B473" i="9" l="1"/>
  <c r="J474" i="9"/>
  <c r="I482" i="9"/>
  <c r="H482" i="9"/>
  <c r="D483" i="9"/>
  <c r="F483" i="9"/>
  <c r="H483" i="9" s="1"/>
  <c r="E483" i="9"/>
  <c r="C484" i="9"/>
  <c r="J475" i="9" l="1"/>
  <c r="B474" i="9"/>
  <c r="I483" i="9"/>
  <c r="G483" i="9"/>
  <c r="D484" i="9"/>
  <c r="E484" i="9"/>
  <c r="F484" i="9"/>
  <c r="G484" i="9" s="1"/>
  <c r="C485" i="9"/>
  <c r="B475" i="9" l="1"/>
  <c r="J476" i="9"/>
  <c r="I484" i="9"/>
  <c r="H484" i="9"/>
  <c r="F485" i="9"/>
  <c r="G485" i="9" s="1"/>
  <c r="D485" i="9"/>
  <c r="E485" i="9"/>
  <c r="C486" i="9"/>
  <c r="B476" i="9" l="1"/>
  <c r="J477" i="9"/>
  <c r="I485" i="9"/>
  <c r="H485" i="9"/>
  <c r="F486" i="9"/>
  <c r="H486" i="9" s="1"/>
  <c r="D486" i="9"/>
  <c r="E486" i="9"/>
  <c r="C487" i="9"/>
  <c r="J478" i="9" l="1"/>
  <c r="B477" i="9"/>
  <c r="I486" i="9"/>
  <c r="G486" i="9"/>
  <c r="E487" i="9"/>
  <c r="D487" i="9"/>
  <c r="C488" i="9"/>
  <c r="F487" i="9"/>
  <c r="G487" i="9" s="1"/>
  <c r="J479" i="9" l="1"/>
  <c r="B478" i="9"/>
  <c r="F488" i="9"/>
  <c r="E488" i="9"/>
  <c r="C489" i="9"/>
  <c r="D488" i="9"/>
  <c r="I487" i="9"/>
  <c r="H487" i="9"/>
  <c r="B479" i="9" l="1"/>
  <c r="J480" i="9"/>
  <c r="I488" i="9"/>
  <c r="H488" i="9"/>
  <c r="F489" i="9"/>
  <c r="G489" i="9" s="1"/>
  <c r="E489" i="9"/>
  <c r="C490" i="9"/>
  <c r="D489" i="9"/>
  <c r="G488" i="9"/>
  <c r="B480" i="9" l="1"/>
  <c r="J481" i="9"/>
  <c r="I489" i="9"/>
  <c r="C491" i="9"/>
  <c r="D490" i="9"/>
  <c r="E490" i="9"/>
  <c r="F490" i="9"/>
  <c r="H490" i="9" s="1"/>
  <c r="H489" i="9"/>
  <c r="B481" i="9" l="1"/>
  <c r="J482" i="9"/>
  <c r="I490" i="9"/>
  <c r="G490" i="9"/>
  <c r="E491" i="9"/>
  <c r="C492" i="9"/>
  <c r="F491" i="9"/>
  <c r="H491" i="9" s="1"/>
  <c r="D491" i="9"/>
  <c r="B482" i="9" l="1"/>
  <c r="J483" i="9"/>
  <c r="I491" i="9"/>
  <c r="E492" i="9"/>
  <c r="C493" i="9"/>
  <c r="F492" i="9"/>
  <c r="H492" i="9" s="1"/>
  <c r="D492" i="9"/>
  <c r="G491" i="9"/>
  <c r="B483" i="9" l="1"/>
  <c r="J484" i="9"/>
  <c r="I492" i="9"/>
  <c r="D493" i="9"/>
  <c r="F493" i="9"/>
  <c r="G493" i="9" s="1"/>
  <c r="E493" i="9"/>
  <c r="C494" i="9"/>
  <c r="G492" i="9"/>
  <c r="B484" i="9" l="1"/>
  <c r="J485" i="9"/>
  <c r="F494" i="9"/>
  <c r="G494" i="9" s="1"/>
  <c r="D494" i="9"/>
  <c r="E494" i="9"/>
  <c r="C495" i="9"/>
  <c r="I493" i="9"/>
  <c r="H493" i="9"/>
  <c r="J486" i="9" l="1"/>
  <c r="B485" i="9"/>
  <c r="H494" i="9"/>
  <c r="D495" i="9"/>
  <c r="F495" i="9"/>
  <c r="G495" i="9" s="1"/>
  <c r="C496" i="9"/>
  <c r="E495" i="9"/>
  <c r="I494" i="9"/>
  <c r="B486" i="9" l="1"/>
  <c r="J487" i="9"/>
  <c r="F496" i="9"/>
  <c r="H496" i="9" s="1"/>
  <c r="C497" i="9"/>
  <c r="D496" i="9"/>
  <c r="E496" i="9"/>
  <c r="I495" i="9"/>
  <c r="H495" i="9"/>
  <c r="J488" i="9" l="1"/>
  <c r="B487" i="9"/>
  <c r="I496" i="9"/>
  <c r="G496" i="9"/>
  <c r="D497" i="9"/>
  <c r="C498" i="9"/>
  <c r="F497" i="9"/>
  <c r="H497" i="9" s="1"/>
  <c r="E497" i="9"/>
  <c r="B488" i="9" l="1"/>
  <c r="J489" i="9"/>
  <c r="I497" i="9"/>
  <c r="D498" i="9"/>
  <c r="E498" i="9"/>
  <c r="F498" i="9"/>
  <c r="G498" i="9" s="1"/>
  <c r="C499" i="9"/>
  <c r="G497" i="9"/>
  <c r="B489" i="9" l="1"/>
  <c r="J490" i="9"/>
  <c r="I498" i="9"/>
  <c r="H498" i="9"/>
  <c r="D499" i="9"/>
  <c r="F499" i="9"/>
  <c r="H499" i="9" s="1"/>
  <c r="E499" i="9"/>
  <c r="C500" i="9"/>
  <c r="B490" i="9" l="1"/>
  <c r="J491" i="9"/>
  <c r="I499" i="9"/>
  <c r="G499" i="9"/>
  <c r="D500" i="9"/>
  <c r="C501" i="9"/>
  <c r="F500" i="9"/>
  <c r="G500" i="9" s="1"/>
  <c r="E500" i="9"/>
  <c r="B491" i="9" l="1"/>
  <c r="J492" i="9"/>
  <c r="I500" i="9"/>
  <c r="D501" i="9"/>
  <c r="F501" i="9"/>
  <c r="H501" i="9" s="1"/>
  <c r="E501" i="9"/>
  <c r="C502" i="9"/>
  <c r="H500" i="9"/>
  <c r="B492" i="9" l="1"/>
  <c r="J493" i="9"/>
  <c r="I501" i="9"/>
  <c r="G501" i="9"/>
  <c r="F502" i="9"/>
  <c r="H502" i="9" s="1"/>
  <c r="C503" i="9"/>
  <c r="D502" i="9"/>
  <c r="E502" i="9"/>
  <c r="J494" i="9" l="1"/>
  <c r="B493" i="9"/>
  <c r="I502" i="9"/>
  <c r="F503" i="9"/>
  <c r="H503" i="9" s="1"/>
  <c r="C504" i="9"/>
  <c r="E503" i="9"/>
  <c r="D503" i="9"/>
  <c r="G502" i="9"/>
  <c r="J495" i="9" l="1"/>
  <c r="B494" i="9"/>
  <c r="I503" i="9"/>
  <c r="G503" i="9"/>
  <c r="C505" i="9"/>
  <c r="D504" i="9"/>
  <c r="F504" i="9"/>
  <c r="G504" i="9" s="1"/>
  <c r="E504" i="9"/>
  <c r="B495" i="9" l="1"/>
  <c r="J496" i="9"/>
  <c r="I504" i="9"/>
  <c r="H504" i="9"/>
  <c r="F505" i="9"/>
  <c r="G505" i="9" s="1"/>
  <c r="D505" i="9"/>
  <c r="E505" i="9"/>
  <c r="C506" i="9"/>
  <c r="B496" i="9" l="1"/>
  <c r="J497" i="9"/>
  <c r="I505" i="9"/>
  <c r="H505" i="9"/>
  <c r="E506" i="9"/>
  <c r="C507" i="9"/>
  <c r="F506" i="9"/>
  <c r="H506" i="9" s="1"/>
  <c r="D506" i="9"/>
  <c r="J498" i="9" l="1"/>
  <c r="B497" i="9"/>
  <c r="I506" i="9"/>
  <c r="G506" i="9"/>
  <c r="C508" i="9"/>
  <c r="D507" i="9"/>
  <c r="E507" i="9"/>
  <c r="F507" i="9"/>
  <c r="G507" i="9" s="1"/>
  <c r="B498" i="9" l="1"/>
  <c r="J499" i="9"/>
  <c r="I507" i="9"/>
  <c r="H507" i="9"/>
  <c r="D508" i="9"/>
  <c r="F508" i="9"/>
  <c r="G508" i="9" s="1"/>
  <c r="E508" i="9"/>
  <c r="C509" i="9"/>
  <c r="B499" i="9" l="1"/>
  <c r="J500" i="9"/>
  <c r="I508" i="9"/>
  <c r="H508" i="9"/>
  <c r="F509" i="9"/>
  <c r="E509" i="9"/>
  <c r="C510" i="9"/>
  <c r="D509" i="9"/>
  <c r="B500" i="9" l="1"/>
  <c r="J501" i="9"/>
  <c r="I509" i="9"/>
  <c r="H509" i="9"/>
  <c r="G509" i="9"/>
  <c r="C511" i="9"/>
  <c r="F510" i="9"/>
  <c r="G510" i="9" s="1"/>
  <c r="D510" i="9"/>
  <c r="E510" i="9"/>
  <c r="J502" i="9" l="1"/>
  <c r="B501" i="9"/>
  <c r="I510" i="9"/>
  <c r="F511" i="9"/>
  <c r="G511" i="9" s="1"/>
  <c r="E511" i="9"/>
  <c r="D511" i="9"/>
  <c r="C512" i="9"/>
  <c r="H510" i="9"/>
  <c r="B502" i="9" l="1"/>
  <c r="J503" i="9"/>
  <c r="I511" i="9"/>
  <c r="H511" i="9"/>
  <c r="F512" i="9"/>
  <c r="H512" i="9" s="1"/>
  <c r="D512" i="9"/>
  <c r="E512" i="9"/>
  <c r="C513" i="9"/>
  <c r="B503" i="9" l="1"/>
  <c r="J504" i="9"/>
  <c r="I512" i="9"/>
  <c r="G512" i="9"/>
  <c r="F513" i="9"/>
  <c r="H513" i="9" s="1"/>
  <c r="E513" i="9"/>
  <c r="C514" i="9"/>
  <c r="D513" i="9"/>
  <c r="J505" i="9" l="1"/>
  <c r="B504" i="9"/>
  <c r="F514" i="9"/>
  <c r="H514" i="9" s="1"/>
  <c r="D514" i="9"/>
  <c r="E514" i="9"/>
  <c r="C515" i="9"/>
  <c r="I513" i="9"/>
  <c r="G513" i="9"/>
  <c r="J506" i="9" l="1"/>
  <c r="B505" i="9"/>
  <c r="I514" i="9"/>
  <c r="D515" i="9"/>
  <c r="F515" i="9"/>
  <c r="H515" i="9" s="1"/>
  <c r="E515" i="9"/>
  <c r="C516" i="9"/>
  <c r="G514" i="9"/>
  <c r="B506" i="9" l="1"/>
  <c r="J507" i="9"/>
  <c r="F516" i="9"/>
  <c r="G516" i="9" s="1"/>
  <c r="E516" i="9"/>
  <c r="D516" i="9"/>
  <c r="C517" i="9"/>
  <c r="G515" i="9"/>
  <c r="I515" i="9"/>
  <c r="J508" i="9" l="1"/>
  <c r="B507" i="9"/>
  <c r="H516" i="9"/>
  <c r="I516" i="9"/>
  <c r="D517" i="9"/>
  <c r="F517" i="9"/>
  <c r="G517" i="9" s="1"/>
  <c r="E517" i="9"/>
  <c r="C518" i="9"/>
  <c r="B508" i="9" l="1"/>
  <c r="J509" i="9"/>
  <c r="C519" i="9"/>
  <c r="F518" i="9"/>
  <c r="H518" i="9" s="1"/>
  <c r="D518" i="9"/>
  <c r="E518" i="9"/>
  <c r="H517" i="9"/>
  <c r="I517" i="9"/>
  <c r="B509" i="9" l="1"/>
  <c r="J510" i="9"/>
  <c r="I518" i="9"/>
  <c r="G518" i="9"/>
  <c r="C520" i="9"/>
  <c r="F519" i="9"/>
  <c r="H519" i="9" s="1"/>
  <c r="E519" i="9"/>
  <c r="D519" i="9"/>
  <c r="B510" i="9" l="1"/>
  <c r="J511" i="9"/>
  <c r="I519" i="9"/>
  <c r="G519" i="9"/>
  <c r="F520" i="9"/>
  <c r="G520" i="9" s="1"/>
  <c r="D520" i="9"/>
  <c r="E520" i="9"/>
  <c r="C521" i="9"/>
  <c r="B511" i="9" l="1"/>
  <c r="J512" i="9"/>
  <c r="I520" i="9"/>
  <c r="H520" i="9"/>
  <c r="F521" i="9"/>
  <c r="G521" i="9" s="1"/>
  <c r="D521" i="9"/>
  <c r="E521" i="9"/>
  <c r="C522" i="9"/>
  <c r="J513" i="9" l="1"/>
  <c r="B512" i="9"/>
  <c r="I521" i="9"/>
  <c r="H521" i="9"/>
  <c r="F522" i="9"/>
  <c r="H522" i="9" s="1"/>
  <c r="E522" i="9"/>
  <c r="C523" i="9"/>
  <c r="D522" i="9"/>
  <c r="J514" i="9" l="1"/>
  <c r="B513" i="9"/>
  <c r="G522" i="9"/>
  <c r="F523" i="9"/>
  <c r="G523" i="9" s="1"/>
  <c r="D523" i="9"/>
  <c r="E523" i="9"/>
  <c r="C524" i="9"/>
  <c r="I522" i="9"/>
  <c r="J515" i="9" l="1"/>
  <c r="B514" i="9"/>
  <c r="I523" i="9"/>
  <c r="H523" i="9"/>
  <c r="D524" i="9"/>
  <c r="F524" i="9"/>
  <c r="G524" i="9" s="1"/>
  <c r="E524" i="9"/>
  <c r="C525" i="9"/>
  <c r="B515" i="9" l="1"/>
  <c r="J516" i="9"/>
  <c r="I524" i="9"/>
  <c r="H524" i="9"/>
  <c r="C526" i="9"/>
  <c r="D525" i="9"/>
  <c r="F525" i="9"/>
  <c r="G525" i="9" s="1"/>
  <c r="E525" i="9"/>
  <c r="B516" i="9" l="1"/>
  <c r="J517" i="9"/>
  <c r="I525" i="9"/>
  <c r="F526" i="9"/>
  <c r="H526" i="9" s="1"/>
  <c r="E526" i="9"/>
  <c r="C527" i="9"/>
  <c r="D526" i="9"/>
  <c r="H525" i="9"/>
  <c r="B517" i="9" l="1"/>
  <c r="J518" i="9"/>
  <c r="I526" i="9"/>
  <c r="C528" i="9"/>
  <c r="F527" i="9"/>
  <c r="G527" i="9" s="1"/>
  <c r="E527" i="9"/>
  <c r="D527" i="9"/>
  <c r="G526" i="9"/>
  <c r="B518" i="9" l="1"/>
  <c r="J519" i="9"/>
  <c r="I527" i="9"/>
  <c r="H527" i="9"/>
  <c r="D528" i="9"/>
  <c r="F528" i="9"/>
  <c r="G528" i="9" s="1"/>
  <c r="E528" i="9"/>
  <c r="C529" i="9"/>
  <c r="J520" i="9" l="1"/>
  <c r="B519" i="9"/>
  <c r="I528" i="9"/>
  <c r="H528" i="9"/>
  <c r="F529" i="9"/>
  <c r="H529" i="9" s="1"/>
  <c r="C530" i="9"/>
  <c r="E529" i="9"/>
  <c r="D529" i="9"/>
  <c r="B520" i="9" l="1"/>
  <c r="J521" i="9"/>
  <c r="I529" i="9"/>
  <c r="G529" i="9"/>
  <c r="D530" i="9"/>
  <c r="C531" i="9"/>
  <c r="F530" i="9"/>
  <c r="G530" i="9" s="1"/>
  <c r="E530" i="9"/>
  <c r="J522" i="9" l="1"/>
  <c r="B521" i="9"/>
  <c r="I530" i="9"/>
  <c r="H530" i="9"/>
  <c r="F531" i="9"/>
  <c r="G531" i="9" s="1"/>
  <c r="C532" i="9"/>
  <c r="D531" i="9"/>
  <c r="E531" i="9"/>
  <c r="B522" i="9" l="1"/>
  <c r="J523" i="9"/>
  <c r="I531" i="9"/>
  <c r="H531" i="9"/>
  <c r="C533" i="9"/>
  <c r="D532" i="9"/>
  <c r="F532" i="9"/>
  <c r="G532" i="9" s="1"/>
  <c r="E532" i="9"/>
  <c r="J524" i="9" l="1"/>
  <c r="B523" i="9"/>
  <c r="I532" i="9"/>
  <c r="C534" i="9"/>
  <c r="D533" i="9"/>
  <c r="E533" i="9"/>
  <c r="F533" i="9"/>
  <c r="G533" i="9" s="1"/>
  <c r="H532" i="9"/>
  <c r="B524" i="9" l="1"/>
  <c r="J525" i="9"/>
  <c r="I533" i="9"/>
  <c r="H533" i="9"/>
  <c r="D534" i="9"/>
  <c r="E534" i="9"/>
  <c r="F534" i="9"/>
  <c r="H534" i="9" s="1"/>
  <c r="C535" i="9"/>
  <c r="B525" i="9" l="1"/>
  <c r="J526" i="9"/>
  <c r="I534" i="9"/>
  <c r="G534" i="9"/>
  <c r="D535" i="9"/>
  <c r="C536" i="9"/>
  <c r="F535" i="9"/>
  <c r="H535" i="9" s="1"/>
  <c r="E535" i="9"/>
  <c r="B526" i="9" l="1"/>
  <c r="J527" i="9"/>
  <c r="I535" i="9"/>
  <c r="D536" i="9"/>
  <c r="E536" i="9"/>
  <c r="C537" i="9"/>
  <c r="F536" i="9"/>
  <c r="G536" i="9" s="1"/>
  <c r="G535" i="9"/>
  <c r="B527" i="9" l="1"/>
  <c r="J528" i="9"/>
  <c r="C538" i="9"/>
  <c r="D537" i="9"/>
  <c r="E537" i="9"/>
  <c r="F537" i="9"/>
  <c r="G537" i="9" s="1"/>
  <c r="H536" i="9"/>
  <c r="I536" i="9"/>
  <c r="B528" i="9" l="1"/>
  <c r="J529" i="9"/>
  <c r="I537" i="9"/>
  <c r="H537" i="9"/>
  <c r="C539" i="9"/>
  <c r="F538" i="9"/>
  <c r="H538" i="9" s="1"/>
  <c r="D538" i="9"/>
  <c r="E538" i="9"/>
  <c r="B529" i="9" l="1"/>
  <c r="J530" i="9"/>
  <c r="I538" i="9"/>
  <c r="D539" i="9"/>
  <c r="E539" i="9"/>
  <c r="C540" i="9"/>
  <c r="F539" i="9"/>
  <c r="G539" i="9" s="1"/>
  <c r="G538" i="9"/>
  <c r="B530" i="9" l="1"/>
  <c r="J531" i="9"/>
  <c r="D540" i="9"/>
  <c r="F540" i="9"/>
  <c r="I540" i="9" s="1"/>
  <c r="E540" i="9"/>
  <c r="C541" i="9"/>
  <c r="H539" i="9"/>
  <c r="I539" i="9"/>
  <c r="B531" i="9" l="1"/>
  <c r="J532" i="9"/>
  <c r="D541" i="9"/>
  <c r="E541" i="9"/>
  <c r="F541" i="9"/>
  <c r="H541" i="9" s="1"/>
  <c r="C542" i="9"/>
  <c r="H540" i="9"/>
  <c r="G540" i="9"/>
  <c r="B532" i="9" l="1"/>
  <c r="J533" i="9"/>
  <c r="E542" i="9"/>
  <c r="C543" i="9"/>
  <c r="F542" i="9"/>
  <c r="G542" i="9" s="1"/>
  <c r="D542" i="9"/>
  <c r="I541" i="9"/>
  <c r="G541" i="9"/>
  <c r="J534" i="9" l="1"/>
  <c r="B533" i="9"/>
  <c r="I542" i="9"/>
  <c r="F543" i="9"/>
  <c r="G543" i="9" s="1"/>
  <c r="D543" i="9"/>
  <c r="E543" i="9"/>
  <c r="C544" i="9"/>
  <c r="H542" i="9"/>
  <c r="J535" i="9" l="1"/>
  <c r="B534" i="9"/>
  <c r="H543" i="9"/>
  <c r="D544" i="9"/>
  <c r="F544" i="9"/>
  <c r="E544" i="9"/>
  <c r="C545" i="9"/>
  <c r="I543" i="9"/>
  <c r="B535" i="9" l="1"/>
  <c r="J536" i="9"/>
  <c r="I544" i="9"/>
  <c r="G544" i="9"/>
  <c r="H544" i="9"/>
  <c r="D545" i="9"/>
  <c r="C546" i="9"/>
  <c r="E545" i="9"/>
  <c r="F545" i="9"/>
  <c r="G545" i="9" s="1"/>
  <c r="J537" i="9" l="1"/>
  <c r="B536" i="9"/>
  <c r="H545" i="9"/>
  <c r="F546" i="9"/>
  <c r="G546" i="9" s="1"/>
  <c r="E546" i="9"/>
  <c r="C547" i="9"/>
  <c r="D546" i="9"/>
  <c r="I545" i="9"/>
  <c r="B537" i="9" l="1"/>
  <c r="J538" i="9"/>
  <c r="I546" i="9"/>
  <c r="C548" i="9"/>
  <c r="F547" i="9"/>
  <c r="G547" i="9" s="1"/>
  <c r="D547" i="9"/>
  <c r="E547" i="9"/>
  <c r="H546" i="9"/>
  <c r="B538" i="9" l="1"/>
  <c r="J539" i="9"/>
  <c r="I547" i="9"/>
  <c r="H547" i="9"/>
  <c r="D548" i="9"/>
  <c r="F548" i="9"/>
  <c r="H548" i="9" s="1"/>
  <c r="E548" i="9"/>
  <c r="C549" i="9"/>
  <c r="J540" i="9" l="1"/>
  <c r="B539" i="9"/>
  <c r="I548" i="9"/>
  <c r="G548" i="9"/>
  <c r="C550" i="9"/>
  <c r="F549" i="9"/>
  <c r="H549" i="9" s="1"/>
  <c r="D549" i="9"/>
  <c r="E549" i="9"/>
  <c r="B540" i="9" l="1"/>
  <c r="J541" i="9"/>
  <c r="I549" i="9"/>
  <c r="C551" i="9"/>
  <c r="D550" i="9"/>
  <c r="F550" i="9"/>
  <c r="G550" i="9" s="1"/>
  <c r="E550" i="9"/>
  <c r="G549" i="9"/>
  <c r="B541" i="9" l="1"/>
  <c r="J542" i="9"/>
  <c r="I550" i="9"/>
  <c r="C552" i="9"/>
  <c r="F551" i="9"/>
  <c r="H551" i="9" s="1"/>
  <c r="D551" i="9"/>
  <c r="E551" i="9"/>
  <c r="H550" i="9"/>
  <c r="B542" i="9" l="1"/>
  <c r="J543" i="9"/>
  <c r="I551" i="9"/>
  <c r="G551" i="9"/>
  <c r="E552" i="9"/>
  <c r="C553" i="9"/>
  <c r="D552" i="9"/>
  <c r="F552" i="9"/>
  <c r="I552" i="9" s="1"/>
  <c r="J544" i="9" l="1"/>
  <c r="B543" i="9"/>
  <c r="G552" i="9"/>
  <c r="C554" i="9"/>
  <c r="D553" i="9"/>
  <c r="E553" i="9"/>
  <c r="F553" i="9"/>
  <c r="G553" i="9" s="1"/>
  <c r="H552" i="9"/>
  <c r="B544" i="9" l="1"/>
  <c r="J545" i="9"/>
  <c r="I553" i="9"/>
  <c r="H553" i="9"/>
  <c r="D554" i="9"/>
  <c r="E554" i="9"/>
  <c r="C555" i="9"/>
  <c r="F554" i="9"/>
  <c r="G554" i="9" s="1"/>
  <c r="B545" i="9" l="1"/>
  <c r="J546" i="9"/>
  <c r="I554" i="9"/>
  <c r="E555" i="9"/>
  <c r="C556" i="9"/>
  <c r="F555" i="9"/>
  <c r="D555" i="9"/>
  <c r="H554" i="9"/>
  <c r="B546" i="9" l="1"/>
  <c r="J547" i="9"/>
  <c r="I555" i="9"/>
  <c r="H555" i="9"/>
  <c r="E556" i="9"/>
  <c r="C557" i="9"/>
  <c r="F556" i="9"/>
  <c r="H556" i="9" s="1"/>
  <c r="D556" i="9"/>
  <c r="G555" i="9"/>
  <c r="B547" i="9" l="1"/>
  <c r="J548" i="9"/>
  <c r="I556" i="9"/>
  <c r="C558" i="9"/>
  <c r="D557" i="9"/>
  <c r="F557" i="9"/>
  <c r="G557" i="9" s="1"/>
  <c r="E557" i="9"/>
  <c r="G556" i="9"/>
  <c r="B548" i="9" l="1"/>
  <c r="J549" i="9"/>
  <c r="I557" i="9"/>
  <c r="H557" i="9"/>
  <c r="D558" i="9"/>
  <c r="C559" i="9"/>
  <c r="F558" i="9"/>
  <c r="H558" i="9" s="1"/>
  <c r="E558" i="9"/>
  <c r="B549" i="9" l="1"/>
  <c r="J550" i="9"/>
  <c r="G558" i="9"/>
  <c r="C560" i="9"/>
  <c r="F559" i="9"/>
  <c r="G559" i="9" s="1"/>
  <c r="D559" i="9"/>
  <c r="E559" i="9"/>
  <c r="I558" i="9"/>
  <c r="B550" i="9" l="1"/>
  <c r="J551" i="9"/>
  <c r="I559" i="9"/>
  <c r="H559" i="9"/>
  <c r="D560" i="9"/>
  <c r="E560" i="9"/>
  <c r="C561" i="9"/>
  <c r="F560" i="9"/>
  <c r="G560" i="9" s="1"/>
  <c r="J552" i="9" l="1"/>
  <c r="B551" i="9"/>
  <c r="I560" i="9"/>
  <c r="D561" i="9"/>
  <c r="E561" i="9"/>
  <c r="F561" i="9"/>
  <c r="H561" i="9" s="1"/>
  <c r="C562" i="9"/>
  <c r="H560" i="9"/>
  <c r="B552" i="9" l="1"/>
  <c r="J553" i="9"/>
  <c r="F562" i="9"/>
  <c r="H562" i="9" s="1"/>
  <c r="E562" i="9"/>
  <c r="C563" i="9"/>
  <c r="D562" i="9"/>
  <c r="I561" i="9"/>
  <c r="G561" i="9"/>
  <c r="B553" i="9" l="1"/>
  <c r="J554" i="9"/>
  <c r="I562" i="9"/>
  <c r="E563" i="9"/>
  <c r="C564" i="9"/>
  <c r="F563" i="9"/>
  <c r="H563" i="9" s="1"/>
  <c r="D563" i="9"/>
  <c r="G562" i="9"/>
  <c r="B554" i="9" l="1"/>
  <c r="J555" i="9"/>
  <c r="I563" i="9"/>
  <c r="D564" i="9"/>
  <c r="F564" i="9"/>
  <c r="H564" i="9" s="1"/>
  <c r="C565" i="9"/>
  <c r="E564" i="9"/>
  <c r="G563" i="9"/>
  <c r="B555" i="9" l="1"/>
  <c r="J556" i="9"/>
  <c r="D565" i="9"/>
  <c r="C566" i="9"/>
  <c r="E565" i="9"/>
  <c r="F565" i="9"/>
  <c r="H565" i="9" s="1"/>
  <c r="G564" i="9"/>
  <c r="I564" i="9"/>
  <c r="J557" i="9" l="1"/>
  <c r="B556" i="9"/>
  <c r="I565" i="9"/>
  <c r="D566" i="9"/>
  <c r="F566" i="9"/>
  <c r="H566" i="9" s="1"/>
  <c r="E566" i="9"/>
  <c r="C567" i="9"/>
  <c r="G565" i="9"/>
  <c r="B557" i="9" l="1"/>
  <c r="J558" i="9"/>
  <c r="I566" i="9"/>
  <c r="G566" i="9"/>
  <c r="C568" i="9"/>
  <c r="F567" i="9"/>
  <c r="G567" i="9" s="1"/>
  <c r="D567" i="9"/>
  <c r="E567" i="9"/>
  <c r="J559" i="9" l="1"/>
  <c r="B558" i="9"/>
  <c r="I567" i="9"/>
  <c r="F568" i="9"/>
  <c r="H568" i="9" s="1"/>
  <c r="E568" i="9"/>
  <c r="C569" i="9"/>
  <c r="D568" i="9"/>
  <c r="H567" i="9"/>
  <c r="B559" i="9" l="1"/>
  <c r="J560" i="9"/>
  <c r="C570" i="9"/>
  <c r="E569" i="9"/>
  <c r="F569" i="9"/>
  <c r="H569" i="9" s="1"/>
  <c r="D569" i="9"/>
  <c r="I568" i="9"/>
  <c r="G568" i="9"/>
  <c r="B560" i="9" l="1"/>
  <c r="J561" i="9"/>
  <c r="I569" i="9"/>
  <c r="G569" i="9"/>
  <c r="E570" i="9"/>
  <c r="C571" i="9"/>
  <c r="D570" i="9"/>
  <c r="F570" i="9"/>
  <c r="G570" i="9" s="1"/>
  <c r="J562" i="9" l="1"/>
  <c r="B561" i="9"/>
  <c r="I570" i="9"/>
  <c r="H570" i="9"/>
  <c r="C572" i="9"/>
  <c r="F571" i="9"/>
  <c r="G571" i="9" s="1"/>
  <c r="D571" i="9"/>
  <c r="E571" i="9"/>
  <c r="B562" i="9" l="1"/>
  <c r="J563" i="9"/>
  <c r="I571" i="9"/>
  <c r="F572" i="9"/>
  <c r="G572" i="9" s="1"/>
  <c r="C573" i="9"/>
  <c r="E572" i="9"/>
  <c r="D572" i="9"/>
  <c r="H571" i="9"/>
  <c r="B563" i="9" l="1"/>
  <c r="J564" i="9"/>
  <c r="I572" i="9"/>
  <c r="H572" i="9"/>
  <c r="E573" i="9"/>
  <c r="C574" i="9"/>
  <c r="D573" i="9"/>
  <c r="F573" i="9"/>
  <c r="G573" i="9" s="1"/>
  <c r="B564" i="9" l="1"/>
  <c r="J565" i="9"/>
  <c r="I573" i="9"/>
  <c r="H573" i="9"/>
  <c r="C575" i="9"/>
  <c r="F574" i="9"/>
  <c r="G574" i="9" s="1"/>
  <c r="E574" i="9"/>
  <c r="D574" i="9"/>
  <c r="B565" i="9" l="1"/>
  <c r="J566" i="9"/>
  <c r="I574" i="9"/>
  <c r="H574" i="9"/>
  <c r="C576" i="9"/>
  <c r="D575" i="9"/>
  <c r="F575" i="9"/>
  <c r="G575" i="9" s="1"/>
  <c r="E575" i="9"/>
  <c r="B566" i="9" l="1"/>
  <c r="J567" i="9"/>
  <c r="I575" i="9"/>
  <c r="H575" i="9"/>
  <c r="C577" i="9"/>
  <c r="D576" i="9"/>
  <c r="F576" i="9"/>
  <c r="G576" i="9" s="1"/>
  <c r="E576" i="9"/>
  <c r="B567" i="9" l="1"/>
  <c r="J568" i="9"/>
  <c r="I576" i="9"/>
  <c r="H576" i="9"/>
  <c r="F577" i="9"/>
  <c r="H577" i="9" s="1"/>
  <c r="C578" i="9"/>
  <c r="E577" i="9"/>
  <c r="D577" i="9"/>
  <c r="B568" i="9" l="1"/>
  <c r="J569" i="9"/>
  <c r="I577" i="9"/>
  <c r="G577" i="9"/>
  <c r="F578" i="9"/>
  <c r="G578" i="9" s="1"/>
  <c r="E578" i="9"/>
  <c r="C579" i="9"/>
  <c r="D578" i="9"/>
  <c r="J570" i="9" l="1"/>
  <c r="B569" i="9"/>
  <c r="C580" i="9"/>
  <c r="F579" i="9"/>
  <c r="G579" i="9" s="1"/>
  <c r="D579" i="9"/>
  <c r="E579" i="9"/>
  <c r="I578" i="9"/>
  <c r="H578" i="9"/>
  <c r="J571" i="9" l="1"/>
  <c r="B570" i="9"/>
  <c r="I579" i="9"/>
  <c r="H579" i="9"/>
  <c r="D580" i="9"/>
  <c r="F580" i="9"/>
  <c r="H580" i="9" s="1"/>
  <c r="E580" i="9"/>
  <c r="C581" i="9"/>
  <c r="B571" i="9" l="1"/>
  <c r="J572" i="9"/>
  <c r="G580" i="9"/>
  <c r="I580" i="9"/>
  <c r="F581" i="9"/>
  <c r="G581" i="9" s="1"/>
  <c r="E581" i="9"/>
  <c r="D581" i="9"/>
  <c r="C582" i="9"/>
  <c r="B572" i="9" l="1"/>
  <c r="J573" i="9"/>
  <c r="H581" i="9"/>
  <c r="I581" i="9"/>
  <c r="F582" i="9"/>
  <c r="G582" i="9" s="1"/>
  <c r="E582" i="9"/>
  <c r="C583" i="9"/>
  <c r="D582" i="9"/>
  <c r="J574" i="9" l="1"/>
  <c r="B573" i="9"/>
  <c r="I582" i="9"/>
  <c r="F583" i="9"/>
  <c r="H583" i="9" s="1"/>
  <c r="D583" i="9"/>
  <c r="E583" i="9"/>
  <c r="C584" i="9"/>
  <c r="H582" i="9"/>
  <c r="J575" i="9" l="1"/>
  <c r="B574" i="9"/>
  <c r="G583" i="9"/>
  <c r="D584" i="9"/>
  <c r="F584" i="9"/>
  <c r="H584" i="9" s="1"/>
  <c r="E584" i="9"/>
  <c r="C585" i="9"/>
  <c r="I583" i="9"/>
  <c r="B575" i="9" l="1"/>
  <c r="J576" i="9"/>
  <c r="I584" i="9"/>
  <c r="C586" i="9"/>
  <c r="F585" i="9"/>
  <c r="G585" i="9" s="1"/>
  <c r="D585" i="9"/>
  <c r="E585" i="9"/>
  <c r="G584" i="9"/>
  <c r="J577" i="9" l="1"/>
  <c r="B576" i="9"/>
  <c r="I585" i="9"/>
  <c r="H585" i="9"/>
  <c r="E586" i="9"/>
  <c r="C587" i="9"/>
  <c r="F586" i="9"/>
  <c r="H586" i="9" s="1"/>
  <c r="D586" i="9"/>
  <c r="J578" i="9" l="1"/>
  <c r="B577" i="9"/>
  <c r="I586" i="9"/>
  <c r="G586" i="9"/>
  <c r="F587" i="9"/>
  <c r="G587" i="9" s="1"/>
  <c r="D587" i="9"/>
  <c r="E587" i="9"/>
  <c r="C588" i="9"/>
  <c r="B578" i="9" l="1"/>
  <c r="J579" i="9"/>
  <c r="I587" i="9"/>
  <c r="H587" i="9"/>
  <c r="C589" i="9"/>
  <c r="D588" i="9"/>
  <c r="F588" i="9"/>
  <c r="H588" i="9" s="1"/>
  <c r="E588" i="9"/>
  <c r="J580" i="9" l="1"/>
  <c r="B579" i="9"/>
  <c r="I588" i="9"/>
  <c r="G588" i="9"/>
  <c r="D589" i="9"/>
  <c r="F589" i="9"/>
  <c r="H589" i="9" s="1"/>
  <c r="E589" i="9"/>
  <c r="C590" i="9"/>
  <c r="B580" i="9" l="1"/>
  <c r="J581" i="9"/>
  <c r="G589" i="9"/>
  <c r="I589" i="9"/>
  <c r="F590" i="9"/>
  <c r="H590" i="9" s="1"/>
  <c r="E590" i="9"/>
  <c r="D590" i="9"/>
  <c r="C591" i="9"/>
  <c r="B581" i="9" l="1"/>
  <c r="J582" i="9"/>
  <c r="I590" i="9"/>
  <c r="G590" i="9"/>
  <c r="C592" i="9"/>
  <c r="D591" i="9"/>
  <c r="E591" i="9"/>
  <c r="F591" i="9"/>
  <c r="G591" i="9" s="1"/>
  <c r="J583" i="9" l="1"/>
  <c r="B582" i="9"/>
  <c r="I591" i="9"/>
  <c r="H591" i="9"/>
  <c r="C593" i="9"/>
  <c r="D592" i="9"/>
  <c r="F592" i="9"/>
  <c r="G592" i="9" s="1"/>
  <c r="E592" i="9"/>
  <c r="B583" i="9" l="1"/>
  <c r="J584" i="9"/>
  <c r="I592" i="9"/>
  <c r="H592" i="9"/>
  <c r="C594" i="9"/>
  <c r="E593" i="9"/>
  <c r="F593" i="9"/>
  <c r="H593" i="9" s="1"/>
  <c r="D593" i="9"/>
  <c r="B584" i="9" l="1"/>
  <c r="J585" i="9"/>
  <c r="I593" i="9"/>
  <c r="G593" i="9"/>
  <c r="F594" i="9"/>
  <c r="G594" i="9" s="1"/>
  <c r="D594" i="9"/>
  <c r="E594" i="9"/>
  <c r="C595" i="9"/>
  <c r="B585" i="9" l="1"/>
  <c r="J586" i="9"/>
  <c r="H594" i="9"/>
  <c r="I594" i="9"/>
  <c r="F595" i="9"/>
  <c r="H595" i="9" s="1"/>
  <c r="D595" i="9"/>
  <c r="E595" i="9"/>
  <c r="C596" i="9"/>
  <c r="J587" i="9" l="1"/>
  <c r="B586" i="9"/>
  <c r="I595" i="9"/>
  <c r="G595" i="9"/>
  <c r="D596" i="9"/>
  <c r="E596" i="9"/>
  <c r="C597" i="9"/>
  <c r="F596" i="9"/>
  <c r="G596" i="9" s="1"/>
  <c r="J588" i="9" l="1"/>
  <c r="B587" i="9"/>
  <c r="I596" i="9"/>
  <c r="C598" i="9"/>
  <c r="F597" i="9"/>
  <c r="G597" i="9" s="1"/>
  <c r="E597" i="9"/>
  <c r="D597" i="9"/>
  <c r="H596" i="9"/>
  <c r="B588" i="9" l="1"/>
  <c r="J589" i="9"/>
  <c r="I597" i="9"/>
  <c r="H597" i="9"/>
  <c r="D598" i="9"/>
  <c r="C599" i="9"/>
  <c r="F598" i="9"/>
  <c r="G598" i="9" s="1"/>
  <c r="E598" i="9"/>
  <c r="J590" i="9" l="1"/>
  <c r="B589" i="9"/>
  <c r="I598" i="9"/>
  <c r="F599" i="9"/>
  <c r="G599" i="9" s="1"/>
  <c r="E599" i="9"/>
  <c r="C600" i="9"/>
  <c r="D599" i="9"/>
  <c r="H598" i="9"/>
  <c r="B590" i="9" l="1"/>
  <c r="J591" i="9"/>
  <c r="I599" i="9"/>
  <c r="C601" i="9"/>
  <c r="D600" i="9"/>
  <c r="F600" i="9"/>
  <c r="H600" i="9" s="1"/>
  <c r="E600" i="9"/>
  <c r="H599" i="9"/>
  <c r="B591" i="9" l="1"/>
  <c r="J592" i="9"/>
  <c r="I600" i="9"/>
  <c r="G600" i="9"/>
  <c r="D601" i="9"/>
  <c r="C602" i="9"/>
  <c r="F601" i="9"/>
  <c r="G601" i="9" s="1"/>
  <c r="E601" i="9"/>
  <c r="B592" i="9" l="1"/>
  <c r="J593" i="9"/>
  <c r="H601" i="9"/>
  <c r="C603" i="9"/>
  <c r="F602" i="9"/>
  <c r="H602" i="9" s="1"/>
  <c r="E602" i="9"/>
  <c r="D602" i="9"/>
  <c r="I601" i="9"/>
  <c r="B593" i="9" l="1"/>
  <c r="J594" i="9"/>
  <c r="I602" i="9"/>
  <c r="G602" i="9"/>
  <c r="C604" i="9"/>
  <c r="F603" i="9"/>
  <c r="D603" i="9"/>
  <c r="E603" i="9"/>
  <c r="J595" i="9" l="1"/>
  <c r="B594" i="9"/>
  <c r="I603" i="9"/>
  <c r="H603" i="9"/>
  <c r="G603" i="9"/>
  <c r="C605" i="9"/>
  <c r="D604" i="9"/>
  <c r="F604" i="9"/>
  <c r="E604" i="9"/>
  <c r="B595" i="9" l="1"/>
  <c r="J596" i="9"/>
  <c r="I604" i="9"/>
  <c r="H604" i="9"/>
  <c r="G604" i="9"/>
  <c r="F605" i="9"/>
  <c r="G605" i="9" s="1"/>
  <c r="E605" i="9"/>
  <c r="C606" i="9"/>
  <c r="D605" i="9"/>
  <c r="B596" i="9" l="1"/>
  <c r="J597" i="9"/>
  <c r="H605" i="9"/>
  <c r="I605" i="9"/>
  <c r="F606" i="9"/>
  <c r="H606" i="9" s="1"/>
  <c r="D606" i="9"/>
  <c r="E606" i="9"/>
  <c r="C607" i="9"/>
  <c r="B597" i="9" l="1"/>
  <c r="J598" i="9"/>
  <c r="F607" i="9"/>
  <c r="H607" i="9" s="1"/>
  <c r="D607" i="9"/>
  <c r="E607" i="9"/>
  <c r="C608" i="9"/>
  <c r="I606" i="9"/>
  <c r="G606" i="9"/>
  <c r="J599" i="9" l="1"/>
  <c r="B598" i="9"/>
  <c r="G607" i="9"/>
  <c r="F608" i="9"/>
  <c r="E608" i="9"/>
  <c r="D608" i="9"/>
  <c r="C609" i="9"/>
  <c r="I607" i="9"/>
  <c r="B599" i="9" l="1"/>
  <c r="J600" i="9"/>
  <c r="I608" i="9"/>
  <c r="H608" i="9"/>
  <c r="G608" i="9"/>
  <c r="D609" i="9"/>
  <c r="C610" i="9"/>
  <c r="E609" i="9"/>
  <c r="F609" i="9"/>
  <c r="G609" i="9" s="1"/>
  <c r="B600" i="9" l="1"/>
  <c r="J601" i="9"/>
  <c r="H609" i="9"/>
  <c r="F610" i="9"/>
  <c r="G610" i="9" s="1"/>
  <c r="D610" i="9"/>
  <c r="C611" i="9"/>
  <c r="E610" i="9"/>
  <c r="I609" i="9"/>
  <c r="B601" i="9" l="1"/>
  <c r="J602" i="9"/>
  <c r="I610" i="9"/>
  <c r="C612" i="9"/>
  <c r="D611" i="9"/>
  <c r="F611" i="9"/>
  <c r="H611" i="9" s="1"/>
  <c r="E611" i="9"/>
  <c r="H610" i="9"/>
  <c r="B602" i="9" l="1"/>
  <c r="J603" i="9"/>
  <c r="I611" i="9"/>
  <c r="G611" i="9"/>
  <c r="C613" i="9"/>
  <c r="F612" i="9"/>
  <c r="G612" i="9" s="1"/>
  <c r="D612" i="9"/>
  <c r="E612" i="9"/>
  <c r="B603" i="9" l="1"/>
  <c r="J604" i="9"/>
  <c r="I612" i="9"/>
  <c r="H612" i="9"/>
  <c r="C614" i="9"/>
  <c r="F613" i="9"/>
  <c r="G613" i="9" s="1"/>
  <c r="D613" i="9"/>
  <c r="E613" i="9"/>
  <c r="B604" i="9" l="1"/>
  <c r="J605" i="9"/>
  <c r="I613" i="9"/>
  <c r="H613" i="9"/>
  <c r="C615" i="9"/>
  <c r="D614" i="9"/>
  <c r="E614" i="9"/>
  <c r="F614" i="9"/>
  <c r="G614" i="9" s="1"/>
  <c r="B605" i="9" l="1"/>
  <c r="J606" i="9"/>
  <c r="I614" i="9"/>
  <c r="H614" i="9"/>
  <c r="D615" i="9"/>
  <c r="E615" i="9"/>
  <c r="C616" i="9"/>
  <c r="F615" i="9"/>
  <c r="G615" i="9" s="1"/>
  <c r="B606" i="9" l="1"/>
  <c r="J607" i="9"/>
  <c r="D616" i="9"/>
  <c r="F616" i="9"/>
  <c r="G616" i="9" s="1"/>
  <c r="C617" i="9"/>
  <c r="E616" i="9"/>
  <c r="H615" i="9"/>
  <c r="I615" i="9"/>
  <c r="B607" i="9" l="1"/>
  <c r="J608" i="9"/>
  <c r="E617" i="9"/>
  <c r="F617" i="9"/>
  <c r="H617" i="9" s="1"/>
  <c r="C618" i="9"/>
  <c r="D617" i="9"/>
  <c r="H616" i="9"/>
  <c r="I616" i="9"/>
  <c r="B608" i="9" l="1"/>
  <c r="J609" i="9"/>
  <c r="I617" i="9"/>
  <c r="D618" i="9"/>
  <c r="F618" i="9"/>
  <c r="G618" i="9" s="1"/>
  <c r="E618" i="9"/>
  <c r="C619" i="9"/>
  <c r="G617" i="9"/>
  <c r="B609" i="9" l="1"/>
  <c r="J610" i="9"/>
  <c r="H618" i="9"/>
  <c r="C620" i="9"/>
  <c r="F619" i="9"/>
  <c r="G619" i="9" s="1"/>
  <c r="D619" i="9"/>
  <c r="E619" i="9"/>
  <c r="I618" i="9"/>
  <c r="J611" i="9" l="1"/>
  <c r="B610" i="9"/>
  <c r="I619" i="9"/>
  <c r="H619" i="9"/>
  <c r="D620" i="9"/>
  <c r="F620" i="9"/>
  <c r="G620" i="9" s="1"/>
  <c r="E620" i="9"/>
  <c r="C621" i="9"/>
  <c r="J612" i="9" l="1"/>
  <c r="B611" i="9"/>
  <c r="H620" i="9"/>
  <c r="I620" i="9"/>
  <c r="D621" i="9"/>
  <c r="F621" i="9"/>
  <c r="H621" i="9" s="1"/>
  <c r="E621" i="9"/>
  <c r="C622" i="9"/>
  <c r="B612" i="9" l="1"/>
  <c r="J613" i="9"/>
  <c r="I621" i="9"/>
  <c r="G621" i="9"/>
  <c r="D622" i="9"/>
  <c r="F622" i="9"/>
  <c r="G622" i="9" s="1"/>
  <c r="E622" i="9"/>
  <c r="C623" i="9"/>
  <c r="B613" i="9" l="1"/>
  <c r="J614" i="9"/>
  <c r="I622" i="9"/>
  <c r="H622" i="9"/>
  <c r="D623" i="9"/>
  <c r="E623" i="9"/>
  <c r="C624" i="9"/>
  <c r="F623" i="9"/>
  <c r="G623" i="9" s="1"/>
  <c r="B614" i="9" l="1"/>
  <c r="J615" i="9"/>
  <c r="I623" i="9"/>
  <c r="H623" i="9"/>
  <c r="E624" i="9"/>
  <c r="C625" i="9"/>
  <c r="D624" i="9"/>
  <c r="F624" i="9"/>
  <c r="H624" i="9" s="1"/>
  <c r="B615" i="9" l="1"/>
  <c r="J616" i="9"/>
  <c r="I624" i="9"/>
  <c r="F625" i="9"/>
  <c r="G625" i="9" s="1"/>
  <c r="C626" i="9"/>
  <c r="D625" i="9"/>
  <c r="E625" i="9"/>
  <c r="G624" i="9"/>
  <c r="B616" i="9" l="1"/>
  <c r="J617" i="9"/>
  <c r="I625" i="9"/>
  <c r="H625" i="9"/>
  <c r="F626" i="9"/>
  <c r="G626" i="9" s="1"/>
  <c r="D626" i="9"/>
  <c r="E626" i="9"/>
  <c r="C627" i="9"/>
  <c r="B617" i="9" l="1"/>
  <c r="J618" i="9"/>
  <c r="H626" i="9"/>
  <c r="I626" i="9"/>
  <c r="F627" i="9"/>
  <c r="H627" i="9" s="1"/>
  <c r="E627" i="9"/>
  <c r="C628" i="9"/>
  <c r="D627" i="9"/>
  <c r="J619" i="9" l="1"/>
  <c r="B618" i="9"/>
  <c r="I627" i="9"/>
  <c r="G627" i="9"/>
  <c r="C629" i="9"/>
  <c r="F628" i="9"/>
  <c r="H628" i="9" s="1"/>
  <c r="D628" i="9"/>
  <c r="E628" i="9"/>
  <c r="J620" i="9" l="1"/>
  <c r="B619" i="9"/>
  <c r="I628" i="9"/>
  <c r="C630" i="9"/>
  <c r="F629" i="9"/>
  <c r="G629" i="9" s="1"/>
  <c r="E629" i="9"/>
  <c r="D629" i="9"/>
  <c r="G628" i="9"/>
  <c r="B620" i="9" l="1"/>
  <c r="J621" i="9"/>
  <c r="I629" i="9"/>
  <c r="H629" i="9"/>
  <c r="D630" i="9"/>
  <c r="F630" i="9"/>
  <c r="H630" i="9" s="1"/>
  <c r="E630" i="9"/>
  <c r="C631" i="9"/>
  <c r="J622" i="9" l="1"/>
  <c r="B621" i="9"/>
  <c r="G630" i="9"/>
  <c r="I630" i="9"/>
  <c r="C632" i="9"/>
  <c r="F631" i="9"/>
  <c r="H631" i="9" s="1"/>
  <c r="E631" i="9"/>
  <c r="D631" i="9"/>
  <c r="B622" i="9" l="1"/>
  <c r="J623" i="9"/>
  <c r="G631" i="9"/>
  <c r="E632" i="9"/>
  <c r="C633" i="9"/>
  <c r="D632" i="9"/>
  <c r="F632" i="9"/>
  <c r="G632" i="9" s="1"/>
  <c r="I631" i="9"/>
  <c r="B623" i="9" l="1"/>
  <c r="J624" i="9"/>
  <c r="I632" i="9"/>
  <c r="C634" i="9"/>
  <c r="E633" i="9"/>
  <c r="F633" i="9"/>
  <c r="H633" i="9" s="1"/>
  <c r="D633" i="9"/>
  <c r="H632" i="9"/>
  <c r="B624" i="9" l="1"/>
  <c r="J625" i="9"/>
  <c r="I633" i="9"/>
  <c r="G633" i="9"/>
  <c r="D634" i="9"/>
  <c r="F634" i="9"/>
  <c r="H634" i="9" s="1"/>
  <c r="E634" i="9"/>
  <c r="C635" i="9"/>
  <c r="B625" i="9" l="1"/>
  <c r="J626" i="9"/>
  <c r="I634" i="9"/>
  <c r="G634" i="9"/>
  <c r="E635" i="9"/>
  <c r="D635" i="9"/>
  <c r="C636" i="9"/>
  <c r="F635" i="9"/>
  <c r="H635" i="9" s="1"/>
  <c r="B626" i="9" l="1"/>
  <c r="J627" i="9"/>
  <c r="I635" i="9"/>
  <c r="C637" i="9"/>
  <c r="F636" i="9"/>
  <c r="G636" i="9" s="1"/>
  <c r="D636" i="9"/>
  <c r="E636" i="9"/>
  <c r="G635" i="9"/>
  <c r="B627" i="9" l="1"/>
  <c r="J628" i="9"/>
  <c r="I636" i="9"/>
  <c r="H636" i="9"/>
  <c r="C638" i="9"/>
  <c r="D637" i="9"/>
  <c r="F637" i="9"/>
  <c r="H637" i="9" s="1"/>
  <c r="E637" i="9"/>
  <c r="J629" i="9" l="1"/>
  <c r="B628" i="9"/>
  <c r="I637" i="9"/>
  <c r="G637" i="9"/>
  <c r="F638" i="9"/>
  <c r="G638" i="9" s="1"/>
  <c r="D638" i="9"/>
  <c r="E638" i="9"/>
  <c r="B629" i="9" l="1"/>
  <c r="J630" i="9"/>
  <c r="I638" i="9"/>
  <c r="H638" i="9"/>
  <c r="J631" i="9" l="1"/>
  <c r="B630" i="9"/>
  <c r="B631" i="9" l="1"/>
  <c r="J632" i="9"/>
  <c r="B632" i="9" l="1"/>
  <c r="J633" i="9"/>
  <c r="B633" i="9" l="1"/>
  <c r="J634" i="9"/>
  <c r="J635" i="9" l="1"/>
  <c r="B634" i="9"/>
  <c r="B635" i="9" l="1"/>
  <c r="J636" i="9"/>
  <c r="B636" i="9" l="1"/>
  <c r="J637" i="9"/>
  <c r="B637" i="9" l="1"/>
  <c r="J638" i="9"/>
  <c r="B638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</authors>
  <commentList>
    <comment ref="F22" authorId="0" shapeId="0" xr:uid="{00000000-0006-0000-0000-000001000000}">
      <text>
        <r>
          <rPr>
            <b/>
            <sz val="12"/>
            <color indexed="9"/>
            <rFont val="Arial"/>
            <family val="2"/>
            <scheme val="minor"/>
          </rPr>
          <t xml:space="preserve"> Antall m³ som skal hogges</t>
        </r>
      </text>
    </comment>
    <comment ref="L22" authorId="0" shapeId="0" xr:uid="{00000000-0006-0000-0000-000002000000}">
      <text>
        <r>
          <rPr>
            <b/>
            <sz val="14"/>
            <color indexed="52"/>
            <rFont val="Arial"/>
            <family val="2"/>
            <scheme val="minor"/>
          </rPr>
          <t xml:space="preserve">Klikk på link til venstre for tabell
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  <r>
          <rPr>
            <b/>
            <sz val="14"/>
            <color indexed="9"/>
            <rFont val="Arial"/>
            <family val="2"/>
            <scheme val="minor"/>
          </rPr>
          <t>Alternativ forenklet bedømming:</t>
        </r>
        <r>
          <rPr>
            <b/>
            <sz val="11"/>
            <color indexed="9"/>
            <rFont val="Arial"/>
            <family val="2"/>
            <scheme val="minor"/>
          </rPr>
          <t xml:space="preserve">      
</t>
        </r>
        <r>
          <rPr>
            <b/>
            <sz val="12"/>
            <color indexed="9"/>
            <rFont val="Arial"/>
            <family val="2"/>
            <scheme val="minor"/>
          </rPr>
          <t xml:space="preserve">1. Meget gode kjøreforhold: Meget jevnt terreng med svært få hinder over 30 cm.
2. Gode kjøreforhold:  Svært få hinder over 50 cm. Hinder over 70 cm kan forekomme.
3. Middels gode kjøreforhold:   Svært mange mindre hinder. De fleste er mindre enn 40 cm. Få store hinder. Hinder over 70 cm kan forekomme.    
4. Dårlige kjøreforhold: Svært mange små hinder. Mange mellomstore og store hinder. Hinder på 50-70 cm kan forekomme.    
5. Svært dårlige kjøreforhold Ingen klassifisering </t>
        </r>
        <r>
          <rPr>
            <b/>
            <sz val="11"/>
            <color indexed="9"/>
            <rFont val="Arial"/>
            <family val="2"/>
            <scheme val="minor"/>
          </rPr>
          <t xml:space="preserve"> 
</t>
        </r>
      </text>
    </comment>
    <comment ref="F24" authorId="0" shapeId="0" xr:uid="{00000000-0006-0000-0000-000003000000}">
      <text>
        <r>
          <rPr>
            <b/>
            <sz val="12"/>
            <color indexed="9"/>
            <rFont val="Arial"/>
            <family val="2"/>
            <scheme val="minor"/>
          </rPr>
          <t xml:space="preserve"> Salgsvolum pr dekar, uten bark, topp og bult.</t>
        </r>
      </text>
    </comment>
    <comment ref="L24" authorId="0" shapeId="0" xr:uid="{00000000-0006-0000-0000-000004000000}">
      <text>
        <r>
          <rPr>
            <b/>
            <sz val="14"/>
            <color indexed="52"/>
            <rFont val="Arial"/>
            <family val="2"/>
            <scheme val="minor"/>
          </rPr>
          <t xml:space="preserve">Klikk på link til venstre for tabell
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  <r>
          <rPr>
            <b/>
            <sz val="14"/>
            <color indexed="9"/>
            <rFont val="Arial"/>
            <family val="2"/>
            <scheme val="minor"/>
          </rPr>
          <t xml:space="preserve">Alternativ forenklet bedømming:    </t>
        </r>
        <r>
          <rPr>
            <b/>
            <sz val="11"/>
            <color indexed="9"/>
            <rFont val="Arial"/>
            <family val="2"/>
            <scheme val="minor"/>
          </rPr>
          <t xml:space="preserve">  
</t>
        </r>
        <r>
          <rPr>
            <b/>
            <sz val="12"/>
            <color indexed="9"/>
            <rFont val="Arial"/>
            <family val="2"/>
            <scheme val="minor"/>
          </rPr>
          <t xml:space="preserve">1. Meget gode kjøreforhold: Meget jevnt terreng med svært få hinder over 30 cm.
2. Gode kjøreforhold:  Svært få hinder over 50 cm. Hinder over 70 cm kan forekomme.
3. Middels gode kjøreforhold:   Svært mange mindre hinder. De fleste er mindre enn 40 cm.  Få store hinder. Hinder over 70 cm kan forekomme.    
4. Dårlige kjøreforhold: Svært mange små hinder. Mange mellomstore og store hinder. Hinder på 50-70 cm kan forekomme.    
5. Svært dårlige kjøreforhold Ingen klassifisering  </t>
        </r>
        <r>
          <rPr>
            <b/>
            <sz val="11"/>
            <color indexed="9"/>
            <rFont val="Arial"/>
            <family val="2"/>
            <scheme val="minor"/>
          </rPr>
          <t xml:space="preserve">
</t>
        </r>
      </text>
    </comment>
    <comment ref="F26" authorId="0" shapeId="0" xr:uid="{00000000-0006-0000-0000-000005000000}">
      <text>
        <r>
          <rPr>
            <b/>
            <sz val="12"/>
            <color indexed="9"/>
            <rFont val="Arial"/>
            <family val="2"/>
            <scheme val="minor"/>
          </rPr>
          <t>Antall trær pr dekar som opparbeides til tømmer</t>
        </r>
        <r>
          <rPr>
            <b/>
            <sz val="11"/>
            <color indexed="9"/>
            <rFont val="Arial"/>
            <family val="2"/>
            <scheme val="minor"/>
          </rPr>
          <t>.</t>
        </r>
      </text>
    </comment>
    <comment ref="L26" authorId="0" shapeId="0" xr:uid="{00000000-0006-0000-0000-000006000000}">
      <text>
        <r>
          <rPr>
            <b/>
            <sz val="12"/>
            <color indexed="9"/>
            <rFont val="Arial"/>
            <family val="2"/>
            <scheme val="minor"/>
          </rPr>
          <t>Klasse 1:   0-10 %
Klasse 2: 10-20 %
Klasse 3: 20-33 %
Klasse 4: 33-50 %
Klasse 5:    &gt;50 %</t>
        </r>
      </text>
    </comment>
    <comment ref="F28" authorId="0" shapeId="0" xr:uid="{00000000-0006-0000-0000-000007000000}">
      <text>
        <r>
          <rPr>
            <b/>
            <sz val="12"/>
            <color indexed="9"/>
            <rFont val="Arial"/>
            <family val="2"/>
            <scheme val="minor"/>
          </rPr>
          <t>Småtrær som ikke gir tømmer, mens som må ryddes vekk med hogstmaskinen.                                                                                                                               NB: INGEN TRÆR UNDER 8 cm/brysthøyde OPPARBEIDES!</t>
        </r>
      </text>
    </comment>
    <comment ref="L28" authorId="0" shapeId="0" xr:uid="{00000000-0006-0000-0000-000008000000}">
      <text>
        <r>
          <rPr>
            <b/>
            <sz val="12"/>
            <color indexed="9"/>
            <rFont val="Arial"/>
            <family val="2"/>
            <scheme val="minor"/>
          </rPr>
          <t>Klasse 1:   0-10 %
Klasse 2: 10-20 %
Klasse 3: 20-33 %
Klasse 4: 33-50 %
Klasse 5:    &gt;50 %</t>
        </r>
      </text>
    </comment>
    <comment ref="F30" authorId="0" shapeId="0" xr:uid="{00000000-0006-0000-0000-000009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0" authorId="0" shapeId="0" xr:uid="{00000000-0006-0000-0000-00000A000000}">
      <text>
        <r>
          <rPr>
            <b/>
            <sz val="12"/>
            <color indexed="9"/>
            <rFont val="Arial"/>
            <family val="2"/>
            <scheme val="minor"/>
          </rPr>
          <t xml:space="preserve"> Målt én vei. Kan kombineres med kjøring på vei (nedenfor).</t>
        </r>
      </text>
    </comment>
    <comment ref="F32" authorId="0" shapeId="0" xr:uid="{00000000-0006-0000-0000-00000B000000}">
      <text>
        <r>
          <rPr>
            <b/>
            <sz val="12"/>
            <color indexed="9"/>
            <rFont val="Arial"/>
            <family val="2"/>
            <scheme val="minor"/>
          </rPr>
          <t>G</t>
        </r>
        <r>
          <rPr>
            <b/>
            <sz val="9"/>
            <color indexed="9"/>
            <rFont val="Arial"/>
            <family val="2"/>
            <scheme val="minor"/>
          </rPr>
          <t>15</t>
        </r>
        <r>
          <rPr>
            <b/>
            <sz val="12"/>
            <color indexed="9"/>
            <rFont val="Arial"/>
            <family val="2"/>
            <scheme val="minor"/>
          </rPr>
          <t>-timer pr skift.</t>
        </r>
      </text>
    </comment>
    <comment ref="L32" authorId="0" shapeId="0" xr:uid="{00000000-0006-0000-0000-00000C000000}">
      <text>
        <r>
          <rPr>
            <b/>
            <sz val="12"/>
            <color indexed="9"/>
            <rFont val="Arial"/>
            <family val="2"/>
            <scheme val="minor"/>
          </rPr>
          <t>Målt én vei. Kan kombineres med terrengkjøring (se ovenfor).</t>
        </r>
      </text>
    </comment>
    <comment ref="F34" authorId="0" shapeId="0" xr:uid="{00000000-0006-0000-0000-00000D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4" authorId="0" shapeId="0" xr:uid="{00000000-0006-0000-0000-00000E000000}">
      <text>
        <r>
          <rPr>
            <b/>
            <sz val="12"/>
            <color indexed="9"/>
            <rFont val="Arial"/>
            <family val="2"/>
            <scheme val="minor"/>
          </rPr>
          <t xml:space="preserve"> Gjennomsnittlige antall m³ pr lassbærerlass</t>
        </r>
      </text>
    </comment>
    <comment ref="F36" authorId="0" shapeId="0" xr:uid="{00000000-0006-0000-0000-00000F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36" authorId="0" shapeId="0" xr:uid="{00000000-0006-0000-0000-000010000000}">
      <text>
        <r>
          <rPr>
            <b/>
            <sz val="12"/>
            <color indexed="9"/>
            <rFont val="Arial"/>
            <family val="2"/>
            <scheme val="minor"/>
          </rPr>
          <t xml:space="preserve">NB: Et sortiment som utgjør mindre enn 5 % av totalvolumet, skal bare telle 0,6. </t>
        </r>
      </text>
    </comment>
    <comment ref="F38" authorId="0" shapeId="0" xr:uid="{00000000-0006-0000-0000-000011000000}">
      <text>
        <r>
          <rPr>
            <b/>
            <sz val="12"/>
            <color indexed="9"/>
            <rFont val="Arial"/>
            <family val="2"/>
            <scheme val="minor"/>
          </rPr>
          <t>G</t>
        </r>
        <r>
          <rPr>
            <b/>
            <sz val="9"/>
            <color indexed="9"/>
            <rFont val="Arial"/>
            <family val="2"/>
            <scheme val="minor"/>
          </rPr>
          <t>15</t>
        </r>
        <r>
          <rPr>
            <b/>
            <sz val="12"/>
            <color indexed="9"/>
            <rFont val="Arial"/>
            <family val="2"/>
            <scheme val="minor"/>
          </rPr>
          <t>-timer pr skift.</t>
        </r>
      </text>
    </comment>
    <comment ref="L38" authorId="0" shapeId="0" xr:uid="{00000000-0006-0000-0000-000012000000}">
      <text>
        <r>
          <rPr>
            <b/>
            <sz val="12"/>
            <color indexed="9"/>
            <rFont val="Arial"/>
            <family val="2"/>
            <scheme val="minor"/>
          </rPr>
          <t xml:space="preserve">Forhåndssatt kostnad kr 1450 pr time.
Grunnlag: 2000 timer/år, basert på beregnede kostnader fra Prosjekt Klimatre, justert med Kostnadsindeks for skogsmaskiner pr 4. kvartal 2019.
</t>
        </r>
      </text>
    </comment>
    <comment ref="F40" authorId="0" shapeId="0" xr:uid="{00000000-0006-0000-0000-000013000000}">
      <text>
        <r>
          <rPr>
            <b/>
            <sz val="12"/>
            <color indexed="9"/>
            <rFont val="Arial"/>
            <family val="2"/>
            <scheme val="minor"/>
          </rPr>
          <t xml:space="preserve"> For beregning av ferdigdato.</t>
        </r>
      </text>
    </comment>
    <comment ref="L40" authorId="0" shapeId="0" xr:uid="{00000000-0006-0000-0000-000014000000}">
      <text>
        <r>
          <rPr>
            <b/>
            <sz val="12"/>
            <color indexed="9"/>
            <rFont val="Arial"/>
            <family val="2"/>
            <scheme val="minor"/>
          </rPr>
          <t xml:space="preserve">Forhåndssatt kostnad kr 1050 pr time.
Grunnlag: 2000 timer/år, basert på beregnede kostnader fra Prosjekt Klimatre, justert med Kostnadsindeks for skogsmaskiner pr 4. kvartal 2019.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  <author>Mikael Fønhus</author>
  </authors>
  <commentList>
    <comment ref="C11" authorId="0" shapeId="0" xr:uid="{00000000-0006-0000-0200-000001000000}">
      <text>
        <r>
          <rPr>
            <b/>
            <sz val="14"/>
            <color indexed="81"/>
            <rFont val="Tahoma"/>
            <family val="2"/>
          </rPr>
          <t>Lørdag, søndag og bevegelige helligdager er definert som ståtid.</t>
        </r>
      </text>
    </comment>
    <comment ref="P11" authorId="0" shapeId="0" xr:uid="{00000000-0006-0000-0200-000002000000}">
      <text>
        <r>
          <rPr>
            <b/>
            <sz val="14"/>
            <color indexed="81"/>
            <rFont val="Tahoma"/>
            <family val="2"/>
          </rPr>
          <t>Lørdag, søndag og bevegelige helligdager er definert som ståtid.</t>
        </r>
      </text>
    </comment>
    <comment ref="D23" authorId="1" shapeId="0" xr:uid="{00000000-0006-0000-0200-000003000000}">
      <text>
        <r>
          <rPr>
            <b/>
            <sz val="14"/>
            <color indexed="81"/>
            <rFont val="Tahoma"/>
            <family val="2"/>
          </rPr>
          <t>Basert på
"</t>
        </r>
        <r>
          <rPr>
            <b/>
            <i/>
            <sz val="14"/>
            <color indexed="81"/>
            <rFont val="Tahoma"/>
            <family val="2"/>
          </rPr>
          <t>Volum pr dekar</t>
        </r>
        <r>
          <rPr>
            <b/>
            <sz val="14"/>
            <color indexed="81"/>
            <rFont val="Tahoma"/>
            <family val="2"/>
          </rPr>
          <t>" og 
"</t>
        </r>
        <r>
          <rPr>
            <b/>
            <i/>
            <sz val="14"/>
            <color indexed="81"/>
            <rFont val="Tahoma"/>
            <family val="2"/>
          </rPr>
          <t>Tømmertrær pr dekar</t>
        </r>
        <r>
          <rPr>
            <b/>
            <sz val="14"/>
            <color indexed="81"/>
            <rFont val="Tahoma"/>
            <family val="2"/>
          </rPr>
          <t>" fra Forside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Fønhus</author>
  </authors>
  <commentList>
    <comment ref="D21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Mikael Fønhus:</t>
        </r>
        <r>
          <rPr>
            <sz val="9"/>
            <color indexed="81"/>
            <rFont val="Tahoma"/>
            <family val="2"/>
          </rPr>
          <t xml:space="preserve">
Tilsvarer en kjørehastighet på 25,9
</t>
        </r>
      </text>
    </comment>
    <comment ref="D23" authorId="0" shapeId="0" xr:uid="{00000000-0006-0000-0400-000002000000}">
      <text>
        <r>
          <rPr>
            <b/>
            <sz val="10"/>
            <color indexed="81"/>
            <rFont val="Tahoma"/>
            <family val="2"/>
          </rPr>
          <t>Kjøreforhold</t>
        </r>
        <r>
          <rPr>
            <sz val="10"/>
            <color indexed="81"/>
            <rFont val="Tahoma"/>
            <family val="2"/>
          </rPr>
          <t xml:space="preserve">
Klasse 1: Svært gode kjøreforhold
Klasse 2: Gode kjøreforhold
Klasse 3: Middels gode 
Klasse 4: Vanskelige
Klasse 5: Svært vanskelge</t>
        </r>
      </text>
    </comment>
    <comment ref="D24" authorId="0" shapeId="0" xr:uid="{00000000-0006-0000-0400-000003000000}">
      <text>
        <r>
          <rPr>
            <b/>
            <sz val="12"/>
            <color indexed="81"/>
            <rFont val="Arial"/>
            <family val="2"/>
            <scheme val="minor"/>
          </rPr>
          <t>L = HELNINGSKLASSE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1  -</t>
        </r>
        <r>
          <rPr>
            <sz val="10"/>
            <color indexed="81"/>
            <rFont val="Arial"/>
            <family val="2"/>
            <scheme val="minor"/>
          </rPr>
          <t xml:space="preserve">    0-10 %  -     0 - 6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2  </t>
        </r>
        <r>
          <rPr>
            <sz val="10"/>
            <color indexed="81"/>
            <rFont val="Arial"/>
            <family val="2"/>
            <scheme val="minor"/>
          </rPr>
          <t>-  10-20 %  -   6 - 11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3  </t>
        </r>
        <r>
          <rPr>
            <sz val="10"/>
            <color indexed="81"/>
            <rFont val="Arial"/>
            <family val="2"/>
            <scheme val="minor"/>
          </rPr>
          <t>-  20-33 %  - 11 - 18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4  </t>
        </r>
        <r>
          <rPr>
            <sz val="10"/>
            <color indexed="81"/>
            <rFont val="Arial"/>
            <family val="2"/>
            <scheme val="minor"/>
          </rPr>
          <t>-  33-50 %  - 18 - 27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b/>
            <sz val="9"/>
            <color indexed="81"/>
            <rFont val="Arial"/>
            <family val="2"/>
            <scheme val="minor"/>
          </rPr>
          <t xml:space="preserve">
</t>
        </r>
        <r>
          <rPr>
            <b/>
            <sz val="10"/>
            <color indexed="81"/>
            <rFont val="Arial"/>
            <family val="2"/>
            <scheme val="minor"/>
          </rPr>
          <t xml:space="preserve"> 5  </t>
        </r>
        <r>
          <rPr>
            <sz val="10"/>
            <color indexed="81"/>
            <rFont val="Arial"/>
            <family val="2"/>
            <scheme val="minor"/>
          </rPr>
          <t>-     &gt; 50 % -       &gt; 27</t>
        </r>
        <r>
          <rPr>
            <vertAlign val="superscript"/>
            <sz val="9"/>
            <color indexed="81"/>
            <rFont val="Arial"/>
            <family val="2"/>
            <scheme val="minor"/>
          </rPr>
          <t>o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 Fønhus</author>
  </authors>
  <commentList>
    <comment ref="K32" authorId="0" shapeId="0" xr:uid="{00000000-0006-0000-0500-000001000000}">
      <text>
        <r>
          <rPr>
            <sz val="10"/>
            <color indexed="81"/>
            <rFont val="Tahoma"/>
            <family val="2"/>
          </rPr>
          <t>Når Y=1 og B=1 blir kjørehastighet 65,4 km/. Dette tilsvarer 8, 4 km/t
Maks kjørehastighet for lassbærer  er 7-9 km/t 
(maskinavhengig)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Mikael</author>
  </authors>
  <commentList>
    <comment ref="C7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Bedømmelse av overfl. struktur innenfor sirkel på 100 m² (radius = 5,65 m).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Arne Tobru</author>
  </authors>
  <commentList>
    <comment ref="J26" authorId="0" shapeId="0" xr:uid="{00000000-0006-0000-0800-000001000000}">
      <text>
        <r>
          <rPr>
            <sz val="9"/>
            <color indexed="81"/>
            <rFont val="Tahoma"/>
            <family val="2"/>
          </rPr>
          <t>Disse lages automatisk når du trykker på knappen over, flikene må gis navn etter disse...</t>
        </r>
      </text>
    </comment>
    <comment ref="K26" authorId="0" shapeId="0" xr:uid="{00000000-0006-0000-0800-000002000000}">
      <text>
        <r>
          <rPr>
            <sz val="9"/>
            <color indexed="81"/>
            <rFont val="Tahoma"/>
            <family val="2"/>
          </rPr>
          <t>Alle ark i arbeidsboken må legges inn i listen! Brukes også til ark synlig, skjule kolonner/rader osv...</t>
        </r>
      </text>
    </comment>
    <comment ref="L26" authorId="0" shapeId="0" xr:uid="{00000000-0006-0000-0800-000003000000}">
      <text>
        <r>
          <rPr>
            <sz val="9"/>
            <color indexed="81"/>
            <rFont val="Tahoma"/>
            <family val="2"/>
          </rPr>
          <t>Arket må også være synlig for at det skal få flik...</t>
        </r>
      </text>
    </comment>
    <comment ref="M26" authorId="0" shapeId="0" xr:uid="{00000000-0006-0000-0800-000004000000}">
      <text>
        <r>
          <rPr>
            <sz val="9"/>
            <color indexed="81"/>
            <rFont val="Tahoma"/>
            <family val="2"/>
          </rPr>
          <t>Egen tekst på flik, uavhengig av arknavn.</t>
        </r>
      </text>
    </comment>
    <comment ref="O26" authorId="0" shapeId="0" xr:uid="{00000000-0006-0000-0800-000005000000}">
      <text>
        <r>
          <rPr>
            <sz val="9"/>
            <color indexed="81"/>
            <rFont val="Tahoma"/>
            <family val="2"/>
          </rPr>
          <t>Hvis arket er synlig vil det også bli beskyttet i brukermodus. I redigeringsmodus er alle ark synlig uansett.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Arne Tobru</author>
  </authors>
  <commentList>
    <comment ref="N18" authorId="0" shapeId="0" xr:uid="{00000000-0006-0000-0900-000001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32" authorId="0" shapeId="0" xr:uid="{00000000-0006-0000-0900-000002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  <comment ref="N40" authorId="0" shapeId="0" xr:uid="{00000000-0006-0000-0900-000003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54" authorId="0" shapeId="0" xr:uid="{00000000-0006-0000-0900-000004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  <comment ref="N62" authorId="0" shapeId="0" xr:uid="{00000000-0006-0000-0900-000005000000}">
      <text>
        <r>
          <rPr>
            <sz val="8"/>
            <color indexed="81"/>
            <rFont val="Tahoma"/>
            <family val="2"/>
          </rPr>
          <t>Vinner i konkurranse om korteste formel for å beregne 1. Påskedag....</t>
        </r>
      </text>
    </comment>
    <comment ref="M76" authorId="0" shapeId="0" xr:uid="{00000000-0006-0000-0900-000006000000}">
      <text>
        <r>
          <rPr>
            <sz val="8"/>
            <color indexed="81"/>
            <rFont val="Tahoma"/>
            <family val="2"/>
          </rPr>
          <t>Se formel i cellene over  for at merkedager skal virke for alle år....</t>
        </r>
      </text>
    </comment>
  </commentList>
</comments>
</file>

<file path=xl/sharedStrings.xml><?xml version="1.0" encoding="utf-8"?>
<sst xmlns="http://schemas.openxmlformats.org/spreadsheetml/2006/main" count="960" uniqueCount="482">
  <si>
    <t>meter/min</t>
  </si>
  <si>
    <t>T4</t>
  </si>
  <si>
    <t>b</t>
  </si>
  <si>
    <t>a</t>
  </si>
  <si>
    <t>stk</t>
  </si>
  <si>
    <r>
      <rPr>
        <b/>
        <sz val="18"/>
        <color theme="1"/>
        <rFont val="Arial"/>
        <family val="2"/>
        <scheme val="minor"/>
      </rPr>
      <t>T</t>
    </r>
    <r>
      <rPr>
        <b/>
        <sz val="12"/>
        <color theme="1"/>
        <rFont val="Arial"/>
        <family val="2"/>
        <scheme val="minor"/>
      </rPr>
      <t>1</t>
    </r>
  </si>
  <si>
    <t>minutter/tre</t>
  </si>
  <si>
    <t>Uttrykk for kjørehastigheten</t>
  </si>
  <si>
    <t>Uttak</t>
  </si>
  <si>
    <t>Overflatestruktur</t>
  </si>
  <si>
    <t>Helning</t>
  </si>
  <si>
    <t>tre/daa</t>
  </si>
  <si>
    <t>Volum pr dekar</t>
  </si>
  <si>
    <t>Reell kjørehastighet</t>
  </si>
  <si>
    <t>Strok- eller arbeidsbredde</t>
  </si>
  <si>
    <t>m³/daa</t>
  </si>
  <si>
    <t>m³/tre</t>
  </si>
  <si>
    <t>Y = overflatestruktur klasser</t>
  </si>
  <si>
    <t>L = helningsklasser</t>
  </si>
  <si>
    <t>0-10 %</t>
  </si>
  <si>
    <t>10-20 %</t>
  </si>
  <si>
    <t>20-33 %</t>
  </si>
  <si>
    <t>33-50 %</t>
  </si>
  <si>
    <t xml:space="preserve"> &gt; 50 %</t>
  </si>
  <si>
    <t>% helning</t>
  </si>
  <si>
    <t>Tidsforbruk/tre</t>
  </si>
  <si>
    <r>
      <t xml:space="preserve">"Grunntid" </t>
    </r>
    <r>
      <rPr>
        <i/>
        <sz val="11"/>
        <color theme="1"/>
        <rFont val="Arial"/>
        <family val="2"/>
        <scheme val="minor"/>
      </rPr>
      <t>(ligger fast)</t>
    </r>
  </si>
  <si>
    <r>
      <t xml:space="preserve">"Økningsfaktor" </t>
    </r>
    <r>
      <rPr>
        <i/>
        <sz val="11"/>
        <color theme="1"/>
        <rFont val="Arial"/>
        <family val="2"/>
        <scheme val="minor"/>
      </rPr>
      <t>(ligger fast)</t>
    </r>
  </si>
  <si>
    <r>
      <rPr>
        <b/>
        <sz val="11"/>
        <color theme="1"/>
        <rFont val="Arial"/>
        <family val="2"/>
        <scheme val="minor"/>
      </rPr>
      <t xml:space="preserve">Formelen kan deles opp, slik at vi først beregner </t>
    </r>
    <r>
      <rPr>
        <b/>
        <sz val="11"/>
        <color theme="1"/>
        <rFont val="Arial"/>
        <family val="1"/>
        <scheme val="major"/>
      </rPr>
      <t>H</t>
    </r>
    <r>
      <rPr>
        <b/>
        <sz val="11"/>
        <color theme="1"/>
        <rFont val="Arial"/>
        <family val="2"/>
        <scheme val="minor"/>
      </rPr>
      <t>:</t>
    </r>
  </si>
  <si>
    <t xml:space="preserve">Middelstamme </t>
  </si>
  <si>
    <t>Øvrig tid</t>
  </si>
  <si>
    <t>Min</t>
  </si>
  <si>
    <t>Middels</t>
  </si>
  <si>
    <t>Max</t>
  </si>
  <si>
    <r>
      <t>T</t>
    </r>
    <r>
      <rPr>
        <b/>
        <sz val="12"/>
        <color theme="1"/>
        <rFont val="Arial"/>
        <family val="2"/>
        <scheme val="minor"/>
      </rPr>
      <t>3</t>
    </r>
  </si>
  <si>
    <r>
      <t>sek/tre (G</t>
    </r>
    <r>
      <rPr>
        <b/>
        <vertAlign val="subscript"/>
        <sz val="12"/>
        <color theme="1"/>
        <rFont val="Arial"/>
        <family val="2"/>
        <scheme val="minor"/>
      </rPr>
      <t>0</t>
    </r>
    <r>
      <rPr>
        <b/>
        <sz val="12"/>
        <color theme="1"/>
        <rFont val="Arial"/>
        <family val="2"/>
        <scheme val="minor"/>
      </rPr>
      <t>-timer)</t>
    </r>
  </si>
  <si>
    <t>Øvrig tid i sekund</t>
  </si>
  <si>
    <t>Øvrig tid i                          cmin</t>
  </si>
  <si>
    <t>Vurdert</t>
  </si>
  <si>
    <t>Hvor mye tid</t>
  </si>
  <si>
    <t xml:space="preserve">   sekund/tre</t>
  </si>
  <si>
    <t>(Alternativ 2)</t>
  </si>
  <si>
    <t>Ryddetrær</t>
  </si>
  <si>
    <r>
      <t>T</t>
    </r>
    <r>
      <rPr>
        <b/>
        <sz val="12"/>
        <color theme="1"/>
        <rFont val="Arial"/>
        <family val="2"/>
        <scheme val="minor"/>
      </rPr>
      <t>R1</t>
    </r>
  </si>
  <si>
    <t>(Alternativ 1)</t>
  </si>
  <si>
    <t>S =</t>
  </si>
  <si>
    <t>K =</t>
  </si>
  <si>
    <t>M =</t>
  </si>
  <si>
    <t>U =</t>
  </si>
  <si>
    <t>Y =</t>
  </si>
  <si>
    <t>L =</t>
  </si>
  <si>
    <t>H =</t>
  </si>
  <si>
    <t>D =</t>
  </si>
  <si>
    <t xml:space="preserve"> m³/tre</t>
  </si>
  <si>
    <t xml:space="preserve"> m³/daa</t>
  </si>
  <si>
    <t xml:space="preserve"> m/min</t>
  </si>
  <si>
    <t xml:space="preserve"> klasse fra tabell</t>
  </si>
  <si>
    <t xml:space="preserve"> tre/daa</t>
  </si>
  <si>
    <t xml:space="preserve"> m</t>
  </si>
  <si>
    <r>
      <t>T</t>
    </r>
    <r>
      <rPr>
        <b/>
        <sz val="12"/>
        <color theme="1"/>
        <rFont val="Arial"/>
        <family val="2"/>
        <scheme val="minor"/>
      </rPr>
      <t>R2</t>
    </r>
  </si>
  <si>
    <t>Hogstmaskin</t>
  </si>
  <si>
    <t>Omregningsfaktorer</t>
  </si>
  <si>
    <t>Tall fra beregning</t>
  </si>
  <si>
    <t>Lassbærer</t>
  </si>
  <si>
    <t>LASSBÆRER</t>
  </si>
  <si>
    <t>Terminaltid</t>
  </si>
  <si>
    <t>K1 =</t>
  </si>
  <si>
    <t>K2 =</t>
  </si>
  <si>
    <t>K2 = Kostant etter lassbærerstørrelse</t>
  </si>
  <si>
    <t xml:space="preserve">Liten </t>
  </si>
  <si>
    <t>Stor</t>
  </si>
  <si>
    <t>Foryngelseshogst</t>
  </si>
  <si>
    <t>Tynning</t>
  </si>
  <si>
    <t>UT =</t>
  </si>
  <si>
    <t>Maskinstør-relse</t>
  </si>
  <si>
    <t>En konstant (ligger fast)</t>
  </si>
  <si>
    <r>
      <t>T</t>
    </r>
    <r>
      <rPr>
        <sz val="8"/>
        <color theme="1"/>
        <rFont val="Cambria"/>
        <family val="1"/>
      </rPr>
      <t>4</t>
    </r>
    <r>
      <rPr>
        <sz val="11"/>
        <color theme="1"/>
        <rFont val="Cambria"/>
        <family val="1"/>
      </rPr>
      <t xml:space="preserve"> variabler</t>
    </r>
  </si>
  <si>
    <t>Varierer med maskinstørrelsen  / hogstform</t>
  </si>
  <si>
    <t>Konstant (se ovenfor)</t>
  </si>
  <si>
    <r>
      <t xml:space="preserve">Uttak, </t>
    </r>
    <r>
      <rPr>
        <u/>
        <sz val="11"/>
        <color theme="1"/>
        <rFont val="Arial"/>
        <family val="2"/>
        <scheme val="minor"/>
      </rPr>
      <t>stammer</t>
    </r>
    <r>
      <rPr>
        <sz val="11"/>
        <color theme="1"/>
        <rFont val="Arial"/>
        <family val="2"/>
        <scheme val="minor"/>
      </rPr>
      <t xml:space="preserve"> pr dekar </t>
    </r>
    <r>
      <rPr>
        <i/>
        <sz val="11"/>
        <color theme="1"/>
        <rFont val="Arial"/>
        <family val="2"/>
        <scheme val="minor"/>
      </rPr>
      <t>(hentet fra hogstmaskinarket)</t>
    </r>
    <r>
      <rPr>
        <sz val="11"/>
        <color theme="1"/>
        <rFont val="Arial"/>
        <family val="2"/>
        <scheme val="minor"/>
      </rPr>
      <t>:</t>
    </r>
  </si>
  <si>
    <t>Tidsforbruk pr m³</t>
  </si>
  <si>
    <t>Tidsforbruk, omregnet til sek/tre</t>
  </si>
  <si>
    <t>U   =</t>
  </si>
  <si>
    <t>A =</t>
  </si>
  <si>
    <t>Kjøreavstand èn vei</t>
  </si>
  <si>
    <t>Kjørehastighet</t>
  </si>
  <si>
    <r>
      <t xml:space="preserve">Overflatestruktur </t>
    </r>
    <r>
      <rPr>
        <i/>
        <sz val="11"/>
        <color theme="1"/>
        <rFont val="Arial"/>
        <family val="2"/>
        <scheme val="minor"/>
      </rPr>
      <t>(klasse)</t>
    </r>
  </si>
  <si>
    <t>B =</t>
  </si>
  <si>
    <t>Hellingsklasse</t>
  </si>
  <si>
    <t>Lasstørrelse</t>
  </si>
  <si>
    <t>(hentet fra hogstmaskin)</t>
  </si>
  <si>
    <t xml:space="preserve"> meter</t>
  </si>
  <si>
    <t xml:space="preserve"> m³/lass</t>
  </si>
  <si>
    <r>
      <t xml:space="preserve"> meter/G</t>
    </r>
    <r>
      <rPr>
        <sz val="8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-min</t>
    </r>
  </si>
  <si>
    <t>Middeltre</t>
  </si>
  <si>
    <r>
      <t>Forflytning</t>
    </r>
    <r>
      <rPr>
        <b/>
        <i/>
        <sz val="14"/>
        <color theme="1"/>
        <rFont val="Arial"/>
        <family val="2"/>
        <scheme val="minor"/>
      </rPr>
      <t xml:space="preserve"> (kjøring mellom trær)</t>
    </r>
  </si>
  <si>
    <t>Antall sortiment</t>
  </si>
  <si>
    <t xml:space="preserve">   NB: Et sortiment som utgjør mindre enn 5 % av totalen, skal bare telle 0,6. </t>
  </si>
  <si>
    <r>
      <t xml:space="preserve">Uttak, </t>
    </r>
    <r>
      <rPr>
        <u/>
        <sz val="11"/>
        <color theme="1"/>
        <rFont val="Arial"/>
        <family val="2"/>
        <scheme val="minor"/>
      </rPr>
      <t>m</t>
    </r>
    <r>
      <rPr>
        <sz val="11"/>
        <color theme="1"/>
        <rFont val="Arial"/>
        <family val="2"/>
        <scheme val="minor"/>
      </rPr>
      <t>³ pr deker</t>
    </r>
  </si>
  <si>
    <r>
      <t>G</t>
    </r>
    <r>
      <rPr>
        <b/>
        <sz val="8"/>
        <color rgb="FFFF0000"/>
        <rFont val="Arial"/>
        <family val="2"/>
        <scheme val="minor"/>
      </rPr>
      <t>0</t>
    </r>
    <r>
      <rPr>
        <b/>
        <sz val="13"/>
        <color rgb="FFFF0000"/>
        <rFont val="Arial"/>
        <family val="2"/>
        <scheme val="minor"/>
      </rPr>
      <t>-cmin/tre</t>
    </r>
  </si>
  <si>
    <t>G0-timer</t>
  </si>
  <si>
    <t>G15-timer</t>
  </si>
  <si>
    <t>Omregnet tidsbruk</t>
  </si>
  <si>
    <r>
      <t>Til G</t>
    </r>
    <r>
      <rPr>
        <i/>
        <sz val="8"/>
        <color theme="1"/>
        <rFont val="Arial"/>
        <family val="2"/>
        <scheme val="minor"/>
      </rPr>
      <t>15</t>
    </r>
    <r>
      <rPr>
        <i/>
        <sz val="11"/>
        <color theme="1"/>
        <rFont val="Arial"/>
        <family val="2"/>
        <scheme val="minor"/>
      </rPr>
      <t>-timer:</t>
    </r>
  </si>
  <si>
    <r>
      <t>Til G</t>
    </r>
    <r>
      <rPr>
        <i/>
        <sz val="8"/>
        <color theme="1"/>
        <rFont val="Arial"/>
        <family val="2"/>
        <scheme val="minor"/>
      </rPr>
      <t>0</t>
    </r>
    <r>
      <rPr>
        <i/>
        <sz val="11"/>
        <color theme="1"/>
        <rFont val="Arial"/>
        <family val="2"/>
        <scheme val="minor"/>
      </rPr>
      <t>-timer:</t>
    </r>
  </si>
  <si>
    <r>
      <t>T</t>
    </r>
    <r>
      <rPr>
        <sz val="8"/>
        <color theme="1"/>
        <rFont val="Arial"/>
        <family val="2"/>
        <scheme val="minor"/>
      </rPr>
      <t>1</t>
    </r>
    <r>
      <rPr>
        <sz val="11"/>
        <color theme="1"/>
        <rFont val="Arial"/>
        <family val="2"/>
        <scheme val="minor"/>
      </rPr>
      <t xml:space="preserve">   Forflytning</t>
    </r>
  </si>
  <si>
    <r>
      <t>T</t>
    </r>
    <r>
      <rPr>
        <sz val="8"/>
        <color theme="1"/>
        <rFont val="Arial"/>
        <family val="2"/>
        <scheme val="minor"/>
      </rPr>
      <t>2</t>
    </r>
    <r>
      <rPr>
        <sz val="11"/>
        <color theme="1"/>
        <rFont val="Arial"/>
        <family val="2"/>
        <scheme val="minor"/>
      </rPr>
      <t xml:space="preserve">   Felling og opparbeiding</t>
    </r>
  </si>
  <si>
    <r>
      <t>T</t>
    </r>
    <r>
      <rPr>
        <sz val="8"/>
        <color theme="1"/>
        <rFont val="Arial"/>
        <family val="2"/>
        <scheme val="minor"/>
      </rPr>
      <t>3</t>
    </r>
    <r>
      <rPr>
        <sz val="11"/>
        <color theme="1"/>
        <rFont val="Arial"/>
        <family val="2"/>
        <scheme val="minor"/>
      </rPr>
      <t xml:space="preserve">   Øvrig tid</t>
    </r>
  </si>
  <si>
    <t>SUM produksjon sekunder/tre</t>
  </si>
  <si>
    <t>SUM produksjon m³/time</t>
  </si>
  <si>
    <r>
      <t>T</t>
    </r>
    <r>
      <rPr>
        <sz val="8"/>
        <color theme="1"/>
        <rFont val="Arial"/>
        <family val="2"/>
        <scheme val="minor"/>
      </rPr>
      <t>4</t>
    </r>
    <r>
      <rPr>
        <sz val="11"/>
        <color theme="1"/>
        <rFont val="Arial"/>
        <family val="2"/>
        <scheme val="minor"/>
      </rPr>
      <t xml:space="preserve">   Terminaltid</t>
    </r>
  </si>
  <si>
    <r>
      <t>T</t>
    </r>
    <r>
      <rPr>
        <sz val="8"/>
        <color theme="1"/>
        <rFont val="Arial"/>
        <family val="2"/>
        <scheme val="minor"/>
      </rPr>
      <t>6</t>
    </r>
    <r>
      <rPr>
        <sz val="11"/>
        <color theme="1"/>
        <rFont val="Arial"/>
        <family val="2"/>
        <scheme val="minor"/>
      </rPr>
      <t xml:space="preserve">   Sortimenttid</t>
    </r>
  </si>
  <si>
    <r>
      <t>T</t>
    </r>
    <r>
      <rPr>
        <sz val="8"/>
        <color theme="1"/>
        <rFont val="Arial"/>
        <family val="2"/>
        <scheme val="minor"/>
      </rPr>
      <t xml:space="preserve">7 </t>
    </r>
    <r>
      <rPr>
        <sz val="11"/>
        <color theme="1"/>
        <rFont val="Arial"/>
        <family val="2"/>
        <scheme val="minor"/>
      </rPr>
      <t xml:space="preserve"> Sortering</t>
    </r>
  </si>
  <si>
    <t>Klasse</t>
  </si>
  <si>
    <t>Hinderhøyde</t>
  </si>
  <si>
    <t>H20</t>
  </si>
  <si>
    <t>10-30 cm</t>
  </si>
  <si>
    <t>H40</t>
  </si>
  <si>
    <t>30-50 cm</t>
  </si>
  <si>
    <t>H60</t>
  </si>
  <si>
    <t>50-70 cm</t>
  </si>
  <si>
    <t>H80</t>
  </si>
  <si>
    <t>Antall hinder</t>
  </si>
  <si>
    <t>Beskrivelse</t>
  </si>
  <si>
    <t>Gj,snitt avstand</t>
  </si>
  <si>
    <t>Antall hinder /daa</t>
  </si>
  <si>
    <t>Svært mange</t>
  </si>
  <si>
    <t>&lt; 1,6 m</t>
  </si>
  <si>
    <t>&gt; 400</t>
  </si>
  <si>
    <t xml:space="preserve">Mange </t>
  </si>
  <si>
    <t xml:space="preserve">5 - 1,6 m </t>
  </si>
  <si>
    <t>400 - 40</t>
  </si>
  <si>
    <t xml:space="preserve">Få </t>
  </si>
  <si>
    <t>16 - 5 m</t>
  </si>
  <si>
    <t>40 - 4</t>
  </si>
  <si>
    <t>Svært få</t>
  </si>
  <si>
    <t>50 - 16 m</t>
  </si>
  <si>
    <t>4 - 0,4</t>
  </si>
  <si>
    <t>Høydeklasser</t>
  </si>
  <si>
    <t>Overflatestruktur-</t>
  </si>
  <si>
    <t>klasser</t>
  </si>
  <si>
    <t>Få</t>
  </si>
  <si>
    <t xml:space="preserve">1. Meget gode </t>
  </si>
  <si>
    <t>kjøreforhold</t>
  </si>
  <si>
    <t>Mange</t>
  </si>
  <si>
    <t>Ingen</t>
  </si>
  <si>
    <t>2. Gode kjøreforhold</t>
  </si>
  <si>
    <t xml:space="preserve">Svært </t>
  </si>
  <si>
    <t>3. Middels gode</t>
  </si>
  <si>
    <t>mange</t>
  </si>
  <si>
    <t>4. Dårlige kjøreforhold</t>
  </si>
  <si>
    <t>Alt terreng vanskeligere enn klasse 4</t>
  </si>
  <si>
    <t>Meget jevnt terreng med svært få hinder over 30 cm.</t>
  </si>
  <si>
    <t xml:space="preserve">2. Gode kjøreforhold: </t>
  </si>
  <si>
    <t>Svært få hinder over 50 cm. Hinder over 70 cm kan forekomme.</t>
  </si>
  <si>
    <t xml:space="preserve">3. Middels gode kjøreforhold:  </t>
  </si>
  <si>
    <t>Svært mange mindre hinder. De fleste er mindre enn 40 cm.</t>
  </si>
  <si>
    <t>Få store hinder. Hinder over 70 cm kan forekomme.</t>
  </si>
  <si>
    <t>4. Dårlige kjøreforhold:</t>
  </si>
  <si>
    <t>Svært mange små hinder. Mange mellomstore og store hinder. Hinder</t>
  </si>
  <si>
    <t>på 50-70 cm kan forekomme.</t>
  </si>
  <si>
    <t>Ingen klassifisering</t>
  </si>
  <si>
    <t>Dårlige</t>
  </si>
  <si>
    <t xml:space="preserve">Middels gode </t>
  </si>
  <si>
    <t xml:space="preserve">Meget gode </t>
  </si>
  <si>
    <t>Gode</t>
  </si>
  <si>
    <t>Kjøreforhold</t>
  </si>
  <si>
    <t xml:space="preserve">sekund/tre </t>
  </si>
  <si>
    <t>sekund/tre</t>
  </si>
  <si>
    <t xml:space="preserve">sekund/tre  </t>
  </si>
  <si>
    <t>Tabell for overflatestruktur</t>
  </si>
  <si>
    <t>5. Svært dårlige kjøreforhold</t>
  </si>
  <si>
    <t>Kjøring på planert drifts- eller traktorveg</t>
  </si>
  <si>
    <r>
      <t>T</t>
    </r>
    <r>
      <rPr>
        <sz val="8"/>
        <color theme="1"/>
        <rFont val="Arial"/>
        <family val="2"/>
        <scheme val="minor"/>
      </rPr>
      <t>51</t>
    </r>
    <r>
      <rPr>
        <sz val="11"/>
        <color theme="1"/>
        <rFont val="Arial"/>
        <family val="2"/>
        <scheme val="minor"/>
      </rPr>
      <t xml:space="preserve">   Kjøring i terrenget</t>
    </r>
  </si>
  <si>
    <r>
      <t>T</t>
    </r>
    <r>
      <rPr>
        <sz val="8"/>
        <color theme="1"/>
        <rFont val="Arial"/>
        <family val="2"/>
        <scheme val="minor"/>
      </rPr>
      <t>52</t>
    </r>
    <r>
      <rPr>
        <sz val="11"/>
        <color theme="1"/>
        <rFont val="Arial"/>
        <family val="2"/>
        <scheme val="minor"/>
      </rPr>
      <t xml:space="preserve">   Kjøring på traktor- eller driftsveg</t>
    </r>
  </si>
  <si>
    <r>
      <t>T</t>
    </r>
    <r>
      <rPr>
        <sz val="8"/>
        <color theme="1"/>
        <rFont val="Arial"/>
        <family val="2"/>
        <scheme val="minor"/>
      </rPr>
      <t xml:space="preserve">R2  </t>
    </r>
    <r>
      <rPr>
        <sz val="11"/>
        <color theme="1"/>
        <rFont val="Arial"/>
        <family val="2"/>
        <scheme val="minor"/>
      </rPr>
      <t xml:space="preserve">Ryddetrær     </t>
    </r>
    <r>
      <rPr>
        <sz val="11"/>
        <color rgb="FFFF0000"/>
        <rFont val="Arial"/>
        <family val="2"/>
        <scheme val="minor"/>
      </rPr>
      <t>*)</t>
    </r>
  </si>
  <si>
    <t>*) Bare én av disse skal brukes</t>
  </si>
  <si>
    <r>
      <t>T</t>
    </r>
    <r>
      <rPr>
        <sz val="8"/>
        <color theme="1"/>
        <rFont val="Arial"/>
        <family val="2"/>
        <scheme val="minor"/>
      </rPr>
      <t xml:space="preserve">8  </t>
    </r>
    <r>
      <rPr>
        <sz val="11"/>
        <color theme="1"/>
        <rFont val="Arial"/>
        <family val="2"/>
        <scheme val="minor"/>
      </rPr>
      <t>Øvrig tid</t>
    </r>
  </si>
  <si>
    <t>Sortering</t>
  </si>
  <si>
    <t>ryddetrær, trær/daa</t>
  </si>
  <si>
    <t>uttak, trær/daa</t>
  </si>
  <si>
    <r>
      <t>T</t>
    </r>
    <r>
      <rPr>
        <strike/>
        <sz val="8"/>
        <color theme="1"/>
        <rFont val="Arial"/>
        <family val="2"/>
        <scheme val="minor"/>
      </rPr>
      <t xml:space="preserve">R1 </t>
    </r>
    <r>
      <rPr>
        <strike/>
        <sz val="11"/>
        <color theme="1"/>
        <rFont val="Arial"/>
        <family val="2"/>
        <scheme val="minor"/>
      </rPr>
      <t xml:space="preserve"> Ryddetrær    </t>
    </r>
    <r>
      <rPr>
        <strike/>
        <sz val="11"/>
        <color rgb="FFFF0000"/>
        <rFont val="Arial"/>
        <family val="2"/>
        <scheme val="minor"/>
      </rPr>
      <t xml:space="preserve"> *)</t>
    </r>
  </si>
  <si>
    <t>HOGST-MASKIN</t>
  </si>
  <si>
    <t>Start</t>
  </si>
  <si>
    <t>Grønn</t>
  </si>
  <si>
    <t>Slutt</t>
  </si>
  <si>
    <t>Gul</t>
  </si>
  <si>
    <t>Rød</t>
  </si>
  <si>
    <t>Måler</t>
  </si>
  <si>
    <t>Verdi</t>
  </si>
  <si>
    <t>Nål</t>
  </si>
  <si>
    <t>Prestasjon</t>
  </si>
  <si>
    <t>STARTDATO</t>
  </si>
  <si>
    <t>TIMER PR SKIFT</t>
  </si>
  <si>
    <t>SKIFT PR DAG</t>
  </si>
  <si>
    <t>FORVENTET SLUTTDATO</t>
  </si>
  <si>
    <t>ANTALL DAGSVERK</t>
  </si>
  <si>
    <t>ANTALL M³</t>
  </si>
  <si>
    <t>ANTALL SKIFT</t>
  </si>
  <si>
    <t>HOGSTMASKIN</t>
  </si>
  <si>
    <t>TOTAL FREMDRIFT MOT MÅLET:</t>
  </si>
  <si>
    <t>MASKINKOSTNAD</t>
  </si>
  <si>
    <r>
      <t>PR G</t>
    </r>
    <r>
      <rPr>
        <b/>
        <vertAlign val="subscript"/>
        <sz val="12"/>
        <color theme="1" tint="0.249977111117893"/>
        <rFont val="Arial"/>
        <family val="2"/>
        <scheme val="minor"/>
      </rPr>
      <t>15</t>
    </r>
    <r>
      <rPr>
        <b/>
        <sz val="12"/>
        <color theme="1" tint="0.249977111117893"/>
        <rFont val="Arial"/>
        <family val="2"/>
        <scheme val="minor"/>
      </rPr>
      <t>-</t>
    </r>
    <r>
      <rPr>
        <sz val="12"/>
        <color theme="1" tint="0.249977111117893"/>
        <rFont val="Arial"/>
        <family val="2"/>
        <scheme val="minor"/>
      </rPr>
      <t>TIME</t>
    </r>
  </si>
  <si>
    <r>
      <t>PR G</t>
    </r>
    <r>
      <rPr>
        <b/>
        <vertAlign val="subscript"/>
        <sz val="12"/>
        <color theme="1" tint="0.249977111117893"/>
        <rFont val="Arial"/>
        <family val="2"/>
        <scheme val="minor"/>
      </rPr>
      <t>0</t>
    </r>
    <r>
      <rPr>
        <sz val="12"/>
        <color theme="1" tint="0.249977111117893"/>
        <rFont val="Arial"/>
        <family val="2"/>
        <scheme val="minor"/>
      </rPr>
      <t>-TIME</t>
    </r>
  </si>
  <si>
    <r>
      <t>KOSTNAD PR M</t>
    </r>
    <r>
      <rPr>
        <vertAlign val="superscript"/>
        <sz val="12"/>
        <color theme="1" tint="0.249977111117893"/>
        <rFont val="Arial"/>
        <family val="2"/>
        <scheme val="minor"/>
      </rPr>
      <t>3</t>
    </r>
  </si>
  <si>
    <t>KR PR TIME</t>
  </si>
  <si>
    <t>PRODUKSJONSNORMER PR SEPTEMBER  2016</t>
  </si>
  <si>
    <t>PRODUKSJONSNORMER PR FOR HOGSTMASKIN</t>
  </si>
  <si>
    <t>PRODUKSJONSNORMER PR FOR LASSBÆRER</t>
  </si>
  <si>
    <t>HJELPETABELLER</t>
  </si>
  <si>
    <t>NB: FLYTTE- OG OPPSTARTSTID KOMMER I TILLEGG!</t>
  </si>
  <si>
    <r>
      <t>G</t>
    </r>
    <r>
      <rPr>
        <b/>
        <sz val="8"/>
        <color rgb="FFFF0000"/>
        <rFont val="Arial"/>
        <family val="2"/>
        <scheme val="minor"/>
      </rPr>
      <t>0</t>
    </r>
    <r>
      <rPr>
        <b/>
        <sz val="13"/>
        <color rgb="FFFF0000"/>
        <rFont val="Arial"/>
        <family val="2"/>
        <scheme val="minor"/>
      </rPr>
      <t>-sekund/tre</t>
    </r>
  </si>
  <si>
    <t>Ryddetid i sekund/ryddetre</t>
  </si>
  <si>
    <t>KORRIGERT</t>
  </si>
  <si>
    <t>caObjPos</t>
  </si>
  <si>
    <t>Navn</t>
  </si>
  <si>
    <t>Sheet</t>
  </si>
  <si>
    <t>Visible</t>
  </si>
  <si>
    <t>Top</t>
  </si>
  <si>
    <t>Left</t>
  </si>
  <si>
    <t>Height</t>
  </si>
  <si>
    <t>Width</t>
  </si>
  <si>
    <t>cmdLagreObjPos</t>
  </si>
  <si>
    <t>DASHBORD</t>
  </si>
  <si>
    <t>Pil høyre 2</t>
  </si>
  <si>
    <t>Pil høyre 23</t>
  </si>
  <si>
    <t>PROD.NORMER TABELL</t>
  </si>
  <si>
    <t>HOGSTMASKIN (G0)</t>
  </si>
  <si>
    <t>Vinkel 29</t>
  </si>
  <si>
    <t>Divisjon 5</t>
  </si>
  <si>
    <t>Comment 9</t>
  </si>
  <si>
    <t>Comment 15</t>
  </si>
  <si>
    <t>LASSBÆRER (G15)</t>
  </si>
  <si>
    <t>Vinkel 19</t>
  </si>
  <si>
    <t>Vinkel 12</t>
  </si>
  <si>
    <t>Comment 4</t>
  </si>
  <si>
    <t>cRedModus</t>
  </si>
  <si>
    <t>Flik_01</t>
  </si>
  <si>
    <t>Flik_02</t>
  </si>
  <si>
    <t>Flik_03</t>
  </si>
  <si>
    <t>Flik_04</t>
  </si>
  <si>
    <t>Flik_05</t>
  </si>
  <si>
    <t>Flik_06</t>
  </si>
  <si>
    <t>Flik_07</t>
  </si>
  <si>
    <t>Flik_08</t>
  </si>
  <si>
    <t>MenyMalOppsett</t>
  </si>
  <si>
    <t>Flik_09</t>
  </si>
  <si>
    <t>Flik_10</t>
  </si>
  <si>
    <t>FORSIDE</t>
  </si>
  <si>
    <t>Flik_MenyPassiv</t>
  </si>
  <si>
    <t>Flik_MenyAktiv</t>
  </si>
  <si>
    <t>cmdLagFliker</t>
  </si>
  <si>
    <t>Gyldig tom</t>
  </si>
  <si>
    <t>Melding:</t>
  </si>
  <si>
    <t>txtHogstInfo</t>
  </si>
  <si>
    <t>txtLassInfo</t>
  </si>
  <si>
    <t>Avstand mellom FLIKER:</t>
  </si>
  <si>
    <t>FlikTekst</t>
  </si>
  <si>
    <t>Forside</t>
  </si>
  <si>
    <t>Dashbord</t>
  </si>
  <si>
    <t>Prod normer</t>
  </si>
  <si>
    <t>Help</t>
  </si>
  <si>
    <t>Menyoppsett</t>
  </si>
  <si>
    <t>cSplit</t>
  </si>
  <si>
    <t>Redigeringsmodus:</t>
  </si>
  <si>
    <t>Utseende/format flik AKTIV:</t>
  </si>
  <si>
    <t>Utseende/format flik PASSIV:</t>
  </si>
  <si>
    <t>Flik 1 setter størrelse for ALLE fliker!</t>
  </si>
  <si>
    <t>caMeny</t>
  </si>
  <si>
    <t>Radhøyde 3 første rader:</t>
  </si>
  <si>
    <t>cRadHøyde</t>
  </si>
  <si>
    <t>cKolBreddeA</t>
  </si>
  <si>
    <t>Kolonnebredde A:</t>
  </si>
  <si>
    <t>Flik_11</t>
  </si>
  <si>
    <t>Flik_12</t>
  </si>
  <si>
    <t>ArkSkalHaFlik</t>
  </si>
  <si>
    <t>ArkSynlig</t>
  </si>
  <si>
    <t>ArkSkulteKolonner</t>
  </si>
  <si>
    <t>ArkSkjulteRader</t>
  </si>
  <si>
    <t>FlikNavn</t>
  </si>
  <si>
    <t>ArkNavn</t>
  </si>
  <si>
    <t>Alle ark i arbeidsboken må legges inn! Max 12 ark…</t>
  </si>
  <si>
    <t>FlikRekkefølge</t>
  </si>
  <si>
    <t>O:XFD</t>
  </si>
  <si>
    <t>AC:XFD</t>
  </si>
  <si>
    <t>N:XFD</t>
  </si>
  <si>
    <t>31:1048576</t>
  </si>
  <si>
    <t>Cellenavn</t>
  </si>
  <si>
    <t>Fra</t>
  </si>
  <si>
    <t>Antall arbeidsdager</t>
  </si>
  <si>
    <t>AntArbDager</t>
  </si>
  <si>
    <t>Ferdig dato</t>
  </si>
  <si>
    <t>FerdigDato</t>
  </si>
  <si>
    <t>Antall kalenderdager:</t>
  </si>
  <si>
    <t>DatoTab</t>
  </si>
  <si>
    <t>caHellig</t>
  </si>
  <si>
    <t>Fra og til</t>
  </si>
  <si>
    <t>Dato</t>
  </si>
  <si>
    <t>Ukedag</t>
  </si>
  <si>
    <t>Ukedag
navn</t>
  </si>
  <si>
    <t>Helligdag
Rad</t>
  </si>
  <si>
    <t>Helligdag
Dato</t>
  </si>
  <si>
    <t>HelligDag
Navn</t>
  </si>
  <si>
    <t>Fridag</t>
  </si>
  <si>
    <t>AkkArb
Dager</t>
  </si>
  <si>
    <t>År1</t>
  </si>
  <si>
    <t>Helligdager</t>
  </si>
  <si>
    <t>Bevegelige:</t>
  </si>
  <si>
    <t>Palmesøndag</t>
  </si>
  <si>
    <t>Skjærtorsdag</t>
  </si>
  <si>
    <t>Langfredag</t>
  </si>
  <si>
    <t>Påskeaften</t>
  </si>
  <si>
    <t>1. Påskedag</t>
  </si>
  <si>
    <t>2. Påskedag</t>
  </si>
  <si>
    <t>Kristi himmelfartsdag</t>
  </si>
  <si>
    <t>1. Pinsedag</t>
  </si>
  <si>
    <t>2. Pinsedag</t>
  </si>
  <si>
    <t>Faste:</t>
  </si>
  <si>
    <t>1. Nyttårsdag</t>
  </si>
  <si>
    <t>Off. Høytidsdag (1. Mai)</t>
  </si>
  <si>
    <t>Grunnlovsdag</t>
  </si>
  <si>
    <t>Julaften</t>
  </si>
  <si>
    <t>1. Juledag</t>
  </si>
  <si>
    <t>2. Juledag</t>
  </si>
  <si>
    <t>Egne merkedager:</t>
  </si>
  <si>
    <t>År2</t>
  </si>
  <si>
    <t>År3</t>
  </si>
  <si>
    <t>Ferdigdato</t>
  </si>
  <si>
    <t>Comment 3</t>
  </si>
  <si>
    <t>Comment 5</t>
  </si>
  <si>
    <t>Comment 6</t>
  </si>
  <si>
    <t>Comment 7</t>
  </si>
  <si>
    <t>Comment 1</t>
  </si>
  <si>
    <t>Comment 2</t>
  </si>
  <si>
    <t>{CTRL} + {SHIFT} + s         =             brukermodus</t>
  </si>
  <si>
    <t>{CTRL} + {SHIFT} + x         =             redigeringsmodus</t>
  </si>
  <si>
    <t xml:space="preserve">     - Produktivitet</t>
  </si>
  <si>
    <t xml:space="preserve">     - Forventet ferdigdato</t>
  </si>
  <si>
    <r>
      <t xml:space="preserve">     - Driftskostnad </t>
    </r>
    <r>
      <rPr>
        <sz val="11"/>
        <color theme="1" tint="0.14999847407452621"/>
        <rFont val="Inherit"/>
      </rPr>
      <t>basert på produktivitet og timekostnad</t>
    </r>
  </si>
  <si>
    <t>Driftsstørrelse</t>
  </si>
  <si>
    <t xml:space="preserve">m³ </t>
  </si>
  <si>
    <t>Ryddetrær pr dekar</t>
  </si>
  <si>
    <t>Tømmertrær pr dekar</t>
  </si>
  <si>
    <t>Helling på hogstfeltet</t>
  </si>
  <si>
    <t xml:space="preserve">     PRODUKTIVITETS- OG KOSTNADSKALKULATOR</t>
  </si>
  <si>
    <t>Overflatestruktur i terrenget</t>
  </si>
  <si>
    <t>Overflatestruktur på eventuell traktorvei</t>
  </si>
  <si>
    <r>
      <t>T</t>
    </r>
    <r>
      <rPr>
        <sz val="12"/>
        <color theme="1"/>
        <rFont val="Arial"/>
        <family val="2"/>
        <scheme val="minor"/>
      </rPr>
      <t>51</t>
    </r>
  </si>
  <si>
    <r>
      <t>Terrengkjøring (</t>
    </r>
    <r>
      <rPr>
        <sz val="16"/>
        <color theme="1"/>
        <rFont val="Arial"/>
        <family val="2"/>
        <scheme val="minor"/>
      </rPr>
      <t>utenom planert drifts- eller traktorveg)</t>
    </r>
  </si>
  <si>
    <r>
      <t>T</t>
    </r>
    <r>
      <rPr>
        <sz val="12"/>
        <color theme="1"/>
        <rFont val="Arial"/>
        <family val="2"/>
        <scheme val="minor"/>
      </rPr>
      <t>6</t>
    </r>
  </si>
  <si>
    <r>
      <t xml:space="preserve">Sortimenttid </t>
    </r>
    <r>
      <rPr>
        <i/>
        <sz val="12"/>
        <color theme="1"/>
        <rFont val="Arial"/>
        <family val="2"/>
        <scheme val="minor"/>
      </rPr>
      <t>(et fratrekk for store trær, med tak på 0,5 m³)</t>
    </r>
  </si>
  <si>
    <r>
      <rPr>
        <sz val="16"/>
        <color theme="1"/>
        <rFont val="Arial"/>
        <family val="2"/>
        <scheme val="minor"/>
      </rPr>
      <t>G</t>
    </r>
    <r>
      <rPr>
        <sz val="11"/>
        <color theme="1"/>
        <rFont val="Arial"/>
        <family val="2"/>
        <scheme val="minor"/>
      </rPr>
      <t>15</t>
    </r>
    <r>
      <rPr>
        <sz val="16"/>
        <color theme="1"/>
        <rFont val="Arial"/>
        <family val="2"/>
        <scheme val="minor"/>
      </rPr>
      <t xml:space="preserve">-min/m³ </t>
    </r>
  </si>
  <si>
    <r>
      <t>min/m³ (G</t>
    </r>
    <r>
      <rPr>
        <vertAlign val="subscript"/>
        <sz val="11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-timer)</t>
    </r>
  </si>
  <si>
    <r>
      <t>sek/tre (G</t>
    </r>
    <r>
      <rPr>
        <vertAlign val="subscript"/>
        <sz val="11"/>
        <color theme="1"/>
        <rFont val="Arial"/>
        <family val="2"/>
        <scheme val="minor"/>
      </rPr>
      <t>15</t>
    </r>
    <r>
      <rPr>
        <sz val="11"/>
        <color theme="1"/>
        <rFont val="Arial"/>
        <family val="2"/>
        <scheme val="minor"/>
      </rPr>
      <t>-timer)</t>
    </r>
  </si>
  <si>
    <r>
      <t>T</t>
    </r>
    <r>
      <rPr>
        <sz val="12"/>
        <color theme="1"/>
        <rFont val="Arial"/>
        <family val="2"/>
        <scheme val="minor"/>
      </rPr>
      <t>7</t>
    </r>
  </si>
  <si>
    <r>
      <t>T</t>
    </r>
    <r>
      <rPr>
        <sz val="12"/>
        <color theme="1"/>
        <rFont val="Arial"/>
        <family val="2"/>
        <scheme val="minor"/>
      </rPr>
      <t>52</t>
    </r>
  </si>
  <si>
    <r>
      <t>T</t>
    </r>
    <r>
      <rPr>
        <sz val="12"/>
        <color theme="1"/>
        <rFont val="Arial"/>
        <family val="2"/>
        <scheme val="minor"/>
      </rPr>
      <t>8</t>
    </r>
  </si>
  <si>
    <t>dato</t>
  </si>
  <si>
    <t>1. Meget gode kjøreforhold:</t>
  </si>
  <si>
    <t>Svært dårlig</t>
  </si>
  <si>
    <t>Høydeklasse</t>
  </si>
  <si>
    <t>5. Meget dårlige kjøreforhold</t>
  </si>
  <si>
    <t>Alternativ forenklet bedømming:</t>
  </si>
  <si>
    <t>39:1048576</t>
  </si>
  <si>
    <t>Comment 11</t>
  </si>
  <si>
    <t>Comment 12</t>
  </si>
  <si>
    <t>Comment 24</t>
  </si>
  <si>
    <t>Produktivitets- og kostnadskalkulator</t>
  </si>
  <si>
    <t>Del denne siden:</t>
  </si>
  <si>
    <r>
      <rPr>
        <b/>
        <sz val="14"/>
        <color theme="1"/>
        <rFont val="Arial"/>
        <family val="2"/>
        <scheme val="minor"/>
      </rPr>
      <t xml:space="preserve">Forklaring av tabellen:     </t>
    </r>
    <r>
      <rPr>
        <sz val="14"/>
        <color theme="1"/>
        <rFont val="Arial"/>
        <family val="2"/>
        <scheme val="minor"/>
      </rPr>
      <t xml:space="preserve">                                                                                                 </t>
    </r>
    <r>
      <rPr>
        <sz val="11"/>
        <color theme="1"/>
        <rFont val="Arial"/>
        <family val="2"/>
        <scheme val="minor"/>
      </rPr>
      <t xml:space="preserve">                              Gå alltid inn i tabellen fra venstre. Bedøm først hindehøyde "H20", deretter "H40", osv.                                                                                                                   Du ender da med å gå flatt mot høyre eller trappe ned mot høyre. Til slutt ender du i den røde kolonnen der klassen for din drift vises.</t>
    </r>
  </si>
  <si>
    <t>Hogstmaskin - timer pr skift</t>
  </si>
  <si>
    <t>timer</t>
  </si>
  <si>
    <t>Lassbærer - timer pr skift</t>
  </si>
  <si>
    <t>Lassbærer - oppstartsdato</t>
  </si>
  <si>
    <t>Hogstmaskin - oppstartsdato</t>
  </si>
  <si>
    <t xml:space="preserve">Denne kalkulatoren en ment som en støtte i produksjonsplanleggingen. Ut fra skogtype, driftsforhold og tilrettelagte forhold gir kalkulatoren en prognose for   </t>
  </si>
  <si>
    <t>Kjøreavstand i terrenget</t>
  </si>
  <si>
    <t>m³</t>
  </si>
  <si>
    <t>meter</t>
  </si>
  <si>
    <t xml:space="preserve">Kjøreavstand på eventuell vei </t>
  </si>
  <si>
    <t>Helling på eventuell traktorvei</t>
  </si>
  <si>
    <t>Comment 45</t>
  </si>
  <si>
    <t>Timekostnad - lassbærer</t>
  </si>
  <si>
    <t>Timekostnad - hogstmaskin</t>
  </si>
  <si>
    <r>
      <t>kr/G</t>
    </r>
    <r>
      <rPr>
        <vertAlign val="subscript"/>
        <sz val="11"/>
        <color theme="1"/>
        <rFont val="Yu Gothic"/>
        <family val="2"/>
      </rPr>
      <t>15</t>
    </r>
    <r>
      <rPr>
        <sz val="11"/>
        <color theme="1"/>
        <rFont val="Yu Gothic"/>
        <family val="2"/>
      </rPr>
      <t>-time</t>
    </r>
  </si>
  <si>
    <t>Comment 57</t>
  </si>
  <si>
    <t>Terrengklasser</t>
  </si>
  <si>
    <t>s:XFD</t>
  </si>
  <si>
    <t>w:xfd</t>
  </si>
  <si>
    <t>46:1048576</t>
  </si>
  <si>
    <t>HJELPETABELL</t>
  </si>
  <si>
    <t>NORSKE TILPASNINGER</t>
  </si>
  <si>
    <t>Norske tilpasninger</t>
  </si>
  <si>
    <r>
      <rPr>
        <i/>
        <u/>
        <sz val="11"/>
        <color theme="10"/>
        <rFont val="Arial"/>
        <family val="2"/>
        <scheme val="minor"/>
      </rPr>
      <t>Underlag for produktionsnormer for extra stora engrepsskordare</t>
    </r>
    <r>
      <rPr>
        <sz val="11"/>
        <color theme="10"/>
        <rFont val="Arial"/>
        <family val="2"/>
        <scheme val="minor"/>
      </rPr>
      <t xml:space="preserve"> </t>
    </r>
    <r>
      <rPr>
        <sz val="11"/>
        <color theme="1"/>
        <rFont val="Arial"/>
        <family val="2"/>
        <scheme val="minor"/>
      </rPr>
      <t xml:space="preserve">(Torbjörn Brunberg, 2007). </t>
    </r>
  </si>
  <si>
    <r>
      <rPr>
        <sz val="11"/>
        <color theme="1"/>
        <rFont val="Arial"/>
        <family val="2"/>
        <scheme val="minor"/>
      </rPr>
      <t>norske studier gjort av NIBIO,</t>
    </r>
    <r>
      <rPr>
        <i/>
        <u/>
        <sz val="11"/>
        <color theme="10"/>
        <rFont val="Arial"/>
        <family val="2"/>
        <scheme val="minor"/>
      </rPr>
      <t xml:space="preserve"> NFR 225329, Sustainable utilization of forest resources in Norway </t>
    </r>
    <r>
      <rPr>
        <sz val="11"/>
        <color theme="1"/>
        <rFont val="Arial"/>
        <family val="2"/>
        <scheme val="minor"/>
      </rPr>
      <t>(Bruce Talbot, 2016).</t>
    </r>
  </si>
  <si>
    <r>
      <t xml:space="preserve">Vi ønsker å gjøre denne kalkulatoren bedre. Har du kommentarer; - send dem til </t>
    </r>
    <r>
      <rPr>
        <b/>
        <i/>
        <sz val="11"/>
        <color theme="0"/>
        <rFont val="Inhereit"/>
      </rPr>
      <t>post@skogkurs.no.</t>
    </r>
  </si>
  <si>
    <t>Normene er justert med</t>
  </si>
  <si>
    <t>TextBox 1</t>
  </si>
  <si>
    <t>Posisjon Produktivitet Hogsmaskin</t>
  </si>
  <si>
    <t>(fra toppen innenfor diagrammet)</t>
  </si>
  <si>
    <t>(fra venstre innenfor diagrammet)</t>
  </si>
  <si>
    <t>Posisjon Produktivitet Lassbærer</t>
  </si>
  <si>
    <t>Excel 2010</t>
  </si>
  <si>
    <t>2013/2016</t>
  </si>
  <si>
    <t>i</t>
  </si>
  <si>
    <t>Hogstmaskin - skift pr dag</t>
  </si>
  <si>
    <t>Lassbærer - skift pr dag</t>
  </si>
  <si>
    <r>
      <t>M</t>
    </r>
    <r>
      <rPr>
        <vertAlign val="superscript"/>
        <sz val="12"/>
        <color theme="1" tint="0.249977111117893"/>
        <rFont val="Arial"/>
        <family val="2"/>
        <scheme val="minor"/>
      </rPr>
      <t>3</t>
    </r>
    <r>
      <rPr>
        <sz val="12"/>
        <color theme="1" tint="0.249977111117893"/>
        <rFont val="Arial"/>
        <family val="2"/>
        <scheme val="minor"/>
      </rPr>
      <t xml:space="preserve"> PR TRE</t>
    </r>
  </si>
  <si>
    <t>MIDDEL-DIMENSJON</t>
  </si>
  <si>
    <t>TRESTØRRELSE</t>
  </si>
  <si>
    <t xml:space="preserve">  </t>
  </si>
  <si>
    <t>Dobbelsaging</t>
  </si>
  <si>
    <t>Vanskelig opparbeiding</t>
  </si>
  <si>
    <t>Hinder ved felling</t>
  </si>
  <si>
    <r>
      <t>T</t>
    </r>
    <r>
      <rPr>
        <b/>
        <sz val="12"/>
        <color theme="1"/>
        <rFont val="Arial"/>
        <family val="2"/>
        <scheme val="minor"/>
      </rPr>
      <t>21</t>
    </r>
  </si>
  <si>
    <t>Felling og opparbeiding  - dal og fjellskog</t>
  </si>
  <si>
    <r>
      <t>T</t>
    </r>
    <r>
      <rPr>
        <b/>
        <sz val="12"/>
        <color theme="1"/>
        <rFont val="Arial"/>
        <family val="2"/>
        <scheme val="minor"/>
      </rPr>
      <t>22</t>
    </r>
  </si>
  <si>
    <t>Felling og opparbeiding - lavlandsskog</t>
  </si>
  <si>
    <t>Felling og opparbeiding - superskog</t>
  </si>
  <si>
    <t>Bruce og MaxiFleet</t>
  </si>
  <si>
    <t>Brunberg</t>
  </si>
  <si>
    <r>
      <t>T</t>
    </r>
    <r>
      <rPr>
        <b/>
        <sz val="12"/>
        <color theme="1"/>
        <rFont val="Arial"/>
        <family val="2"/>
        <scheme val="minor"/>
      </rPr>
      <t>23</t>
    </r>
  </si>
  <si>
    <t>Skogkunnskap.se</t>
  </si>
  <si>
    <t>Cellekontroll:</t>
  </si>
  <si>
    <t>51:1048576</t>
  </si>
  <si>
    <t>Comment 69</t>
  </si>
  <si>
    <t>Comment 71</t>
  </si>
  <si>
    <t>Comment 73</t>
  </si>
  <si>
    <t>Comment 74</t>
  </si>
  <si>
    <t>Comment 75</t>
  </si>
  <si>
    <t>Comment 76</t>
  </si>
  <si>
    <t>Comment 82</t>
  </si>
  <si>
    <t>Comment 83</t>
  </si>
  <si>
    <t>Comment 85</t>
  </si>
  <si>
    <t>Comment 87</t>
  </si>
  <si>
    <t>Comment 89</t>
  </si>
  <si>
    <t>Comment 18</t>
  </si>
  <si>
    <t>26:1048576</t>
  </si>
  <si>
    <t>Grafikk 2</t>
  </si>
  <si>
    <t>Grafikk 66</t>
  </si>
  <si>
    <t>Bilde 67</t>
  </si>
  <si>
    <t>Bilde 68</t>
  </si>
  <si>
    <t>TekstSylinder 3</t>
  </si>
  <si>
    <t>TekstSylinder 4</t>
  </si>
  <si>
    <t>TekstSylinder 5</t>
  </si>
  <si>
    <t>TekstSylinder 6</t>
  </si>
  <si>
    <t>TekstSylinder 7</t>
  </si>
  <si>
    <t>Alternativknapp 91</t>
  </si>
  <si>
    <t>Alternativknapp 93</t>
  </si>
  <si>
    <t>Alternativknapp 94</t>
  </si>
  <si>
    <t>Grupperingsboks 98</t>
  </si>
  <si>
    <t>Drop Down 102</t>
  </si>
  <si>
    <t>Bilde 1</t>
  </si>
  <si>
    <t>Bilde 2</t>
  </si>
  <si>
    <t>Bilde 3</t>
  </si>
  <si>
    <t>Diagram 24</t>
  </si>
  <si>
    <t>Diagram 39</t>
  </si>
  <si>
    <t>Grafikk 35</t>
  </si>
  <si>
    <t>Bilde 26</t>
  </si>
  <si>
    <t>Bilde 32</t>
  </si>
  <si>
    <t>Bilde 43</t>
  </si>
  <si>
    <t>Bilde 49</t>
  </si>
  <si>
    <t>Bilde 53</t>
  </si>
  <si>
    <t>Bilde 55</t>
  </si>
  <si>
    <t>Bilde 13</t>
  </si>
  <si>
    <t>Bilde 15</t>
  </si>
  <si>
    <t>Bilde 11</t>
  </si>
  <si>
    <t>Bilde 17</t>
  </si>
  <si>
    <t>Bilde 29</t>
  </si>
  <si>
    <t>Bilde 33</t>
  </si>
  <si>
    <t>Bilde 39</t>
  </si>
  <si>
    <t>Bilde 9</t>
  </si>
  <si>
    <t>Bilde 10</t>
  </si>
  <si>
    <t>Pil: høyre 1</t>
  </si>
  <si>
    <t>TekstSylinder 16</t>
  </si>
  <si>
    <t>Datoliste</t>
  </si>
  <si>
    <r>
      <t xml:space="preserve">Grunnlaget for kalkylene er SKOGFORSK sine </t>
    </r>
    <r>
      <rPr>
        <i/>
        <sz val="11"/>
        <color theme="1"/>
        <rFont val="Arial"/>
        <family val="2"/>
        <scheme val="minor"/>
      </rPr>
      <t>Underlag til produksjonsnormer for skotare</t>
    </r>
    <r>
      <rPr>
        <sz val="11"/>
        <color theme="1"/>
        <rFont val="Arial"/>
        <family val="2"/>
        <scheme val="minor"/>
      </rPr>
      <t xml:space="preserve"> (Torbjörn Brunberg, 2004) og </t>
    </r>
  </si>
  <si>
    <r>
      <t xml:space="preserve">Denne versjonen er ikke lenger gyldig! Last ned ny gratis versjon fra </t>
    </r>
    <r>
      <rPr>
        <b/>
        <sz val="9"/>
        <rFont val="Arial"/>
        <family val="2"/>
      </rPr>
      <t>www.skogkurs.no/kunnskapsskogen</t>
    </r>
  </si>
  <si>
    <r>
      <rPr>
        <sz val="11"/>
        <color theme="1"/>
        <rFont val="Arial"/>
        <family val="2"/>
        <scheme val="minor"/>
      </rPr>
      <t xml:space="preserve">Maskinkostnadene har som grunnlag 2000 timer/år, basert på beregnede kostnader fra </t>
    </r>
    <r>
      <rPr>
        <i/>
        <u/>
        <sz val="11"/>
        <color theme="10"/>
        <rFont val="Arial"/>
        <family val="2"/>
        <scheme val="minor"/>
      </rPr>
      <t>Prosjekt Klimatre</t>
    </r>
    <r>
      <rPr>
        <sz val="11"/>
        <color theme="1"/>
        <rFont val="Arial"/>
        <family val="2"/>
        <scheme val="minor"/>
      </rPr>
      <t xml:space="preserve">, </t>
    </r>
  </si>
  <si>
    <t>Revidert 27.01.2020</t>
  </si>
  <si>
    <t>Versjon 2.2</t>
  </si>
  <si>
    <t>justert med Kostnadsindeks for skogsmaskiner pr 4. kvartal 2019.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</si>
</sst>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 * #,##0.00_ ;_ * \-#,##0.00_ ;_ * &quot;-&quot;??_ ;_ @_ "/>
    <numFmt numFmtId="165" formatCode="_ * #,##0_ ;_ * \-#,##0_ ;_ * &quot;-&quot;??_ ;_ @_ "/>
    <numFmt numFmtId="166" formatCode="0.000"/>
    <numFmt numFmtId="167" formatCode="0.0"/>
    <numFmt numFmtId="168" formatCode="dddd"/>
    <numFmt numFmtId="169" formatCode="dd/mm/yy;@"/>
    <numFmt numFmtId="170" formatCode="_ &quot;kr&quot;\ * #,##0_ ;_ &quot;kr&quot;\ * \-#,##0_ ;_ &quot;kr&quot;\ * &quot;-&quot;??_ ;_ @_ "/>
    <numFmt numFmtId="171" formatCode="_-* #,##0.0_-;\-* #,##0.0_-;_-* &quot;-&quot;?_-;_-@_-"/>
  </numFmts>
  <fonts count="148">
    <font>
      <sz val="11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sz val="9"/>
      <color theme="1"/>
      <name val="Arial"/>
      <family val="2"/>
      <scheme val="minor"/>
    </font>
    <font>
      <b/>
      <sz val="11"/>
      <color theme="1"/>
      <name val="Arial"/>
      <family val="2"/>
      <scheme val="minor"/>
    </font>
    <font>
      <sz val="9"/>
      <color indexed="81"/>
      <name val="Tahoma"/>
      <family val="2"/>
    </font>
    <font>
      <b/>
      <sz val="12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b/>
      <sz val="18"/>
      <color theme="3"/>
      <name val="Arial"/>
      <family val="2"/>
      <scheme val="major"/>
    </font>
    <font>
      <b/>
      <sz val="15"/>
      <color theme="3"/>
      <name val="Arial"/>
      <family val="2"/>
      <scheme val="minor"/>
    </font>
    <font>
      <b/>
      <sz val="13"/>
      <color theme="3"/>
      <name val="Arial"/>
      <family val="2"/>
      <scheme val="minor"/>
    </font>
    <font>
      <b/>
      <sz val="11"/>
      <color theme="0"/>
      <name val="Arial"/>
      <family val="2"/>
      <scheme val="minor"/>
    </font>
    <font>
      <sz val="11"/>
      <color theme="0"/>
      <name val="Arial"/>
      <family val="2"/>
      <scheme val="minor"/>
    </font>
    <font>
      <b/>
      <sz val="18"/>
      <color theme="1"/>
      <name val="Arial"/>
      <family val="2"/>
      <scheme val="minor"/>
    </font>
    <font>
      <sz val="18"/>
      <color theme="0"/>
      <name val="Arial"/>
      <family val="2"/>
      <scheme val="minor"/>
    </font>
    <font>
      <sz val="18"/>
      <color theme="1"/>
      <name val="Arial"/>
      <family val="2"/>
      <scheme val="minor"/>
    </font>
    <font>
      <sz val="11"/>
      <color theme="1"/>
      <name val="Cambria"/>
      <family val="1"/>
    </font>
    <font>
      <sz val="11"/>
      <color theme="1"/>
      <name val="Arial"/>
      <family val="1"/>
      <scheme val="major"/>
    </font>
    <font>
      <i/>
      <sz val="11"/>
      <color theme="1"/>
      <name val="Arial"/>
      <family val="2"/>
      <scheme val="minor"/>
    </font>
    <font>
      <b/>
      <sz val="11"/>
      <color theme="1"/>
      <name val="Arial"/>
      <family val="1"/>
      <scheme val="major"/>
    </font>
    <font>
      <i/>
      <sz val="10"/>
      <color theme="1"/>
      <name val="Cambria"/>
      <family val="1"/>
    </font>
    <font>
      <b/>
      <sz val="9"/>
      <color indexed="81"/>
      <name val="Arial"/>
      <family val="2"/>
      <scheme val="minor"/>
    </font>
    <font>
      <b/>
      <sz val="12"/>
      <color indexed="81"/>
      <name val="Arial"/>
      <family val="2"/>
      <scheme val="minor"/>
    </font>
    <font>
      <b/>
      <vertAlign val="subscript"/>
      <sz val="12"/>
      <color theme="1"/>
      <name val="Arial"/>
      <family val="2"/>
      <scheme val="minor"/>
    </font>
    <font>
      <b/>
      <i/>
      <sz val="11"/>
      <color theme="1"/>
      <name val="Arial"/>
      <family val="2"/>
      <scheme val="minor"/>
    </font>
    <font>
      <b/>
      <i/>
      <sz val="11"/>
      <color rgb="FFFF0000"/>
      <name val="Arial"/>
      <family val="2"/>
      <scheme val="minor"/>
    </font>
    <font>
      <sz val="8"/>
      <color theme="1"/>
      <name val="Arial"/>
      <family val="2"/>
      <scheme val="minor"/>
    </font>
    <font>
      <sz val="11"/>
      <color theme="1"/>
      <name val="Symbol"/>
      <family val="1"/>
      <charset val="2"/>
    </font>
    <font>
      <sz val="8"/>
      <color theme="1"/>
      <name val="Cambria"/>
      <family val="1"/>
    </font>
    <font>
      <b/>
      <sz val="11"/>
      <color rgb="FFFF0000"/>
      <name val="Arial"/>
      <family val="2"/>
      <scheme val="minor"/>
    </font>
    <font>
      <b/>
      <sz val="16"/>
      <color rgb="FFFF0000"/>
      <name val="Arial"/>
      <family val="2"/>
      <scheme val="minor"/>
    </font>
    <font>
      <u/>
      <sz val="11"/>
      <color theme="1"/>
      <name val="Arial"/>
      <family val="2"/>
      <scheme val="minor"/>
    </font>
    <font>
      <i/>
      <sz val="8"/>
      <color theme="1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b/>
      <sz val="8"/>
      <color rgb="FFFF0000"/>
      <name val="Arial"/>
      <family val="2"/>
      <scheme val="minor"/>
    </font>
    <font>
      <b/>
      <sz val="13"/>
      <color rgb="FFFF0000"/>
      <name val="Arial"/>
      <family val="2"/>
      <scheme val="minor"/>
    </font>
    <font>
      <b/>
      <i/>
      <sz val="12"/>
      <color theme="1"/>
      <name val="Arial"/>
      <family val="2"/>
      <scheme val="minor"/>
    </font>
    <font>
      <i/>
      <sz val="12"/>
      <color theme="1"/>
      <name val="Arial"/>
      <family val="2"/>
      <scheme val="minor"/>
    </font>
    <font>
      <b/>
      <sz val="14"/>
      <color theme="0"/>
      <name val="Arial"/>
      <family val="2"/>
      <scheme val="minor"/>
    </font>
    <font>
      <b/>
      <sz val="24"/>
      <color theme="3"/>
      <name val="Arial"/>
      <family val="2"/>
      <scheme val="minor"/>
    </font>
    <font>
      <sz val="10"/>
      <color indexed="12"/>
      <name val="Arial"/>
      <family val="2"/>
    </font>
    <font>
      <b/>
      <sz val="10"/>
      <name val="Arial"/>
      <family val="2"/>
    </font>
    <font>
      <u/>
      <sz val="11"/>
      <color theme="10"/>
      <name val="Arial"/>
      <family val="2"/>
      <scheme val="minor"/>
    </font>
    <font>
      <b/>
      <sz val="10"/>
      <color indexed="81"/>
      <name val="Arial"/>
      <family val="2"/>
      <scheme val="minor"/>
    </font>
    <font>
      <vertAlign val="superscript"/>
      <sz val="9"/>
      <color indexed="81"/>
      <name val="Arial"/>
      <family val="2"/>
      <scheme val="minor"/>
    </font>
    <font>
      <b/>
      <sz val="10"/>
      <color indexed="81"/>
      <name val="Tahoma"/>
      <family val="2"/>
    </font>
    <font>
      <sz val="10"/>
      <color indexed="81"/>
      <name val="Tahoma"/>
      <family val="2"/>
    </font>
    <font>
      <sz val="10"/>
      <color indexed="81"/>
      <name val="Arial"/>
      <family val="2"/>
      <scheme val="minor"/>
    </font>
    <font>
      <sz val="11"/>
      <color rgb="FFFF0000"/>
      <name val="Arial"/>
      <family val="2"/>
      <scheme val="minor"/>
    </font>
    <font>
      <strike/>
      <sz val="11"/>
      <color theme="1"/>
      <name val="Arial"/>
      <family val="2"/>
      <scheme val="minor"/>
    </font>
    <font>
      <strike/>
      <sz val="8"/>
      <color theme="1"/>
      <name val="Arial"/>
      <family val="2"/>
      <scheme val="minor"/>
    </font>
    <font>
      <strike/>
      <sz val="11"/>
      <color rgb="FFFF0000"/>
      <name val="Arial"/>
      <family val="2"/>
      <scheme val="minor"/>
    </font>
    <font>
      <i/>
      <strike/>
      <sz val="11"/>
      <color theme="1"/>
      <name val="Arial"/>
      <family val="2"/>
      <scheme val="minor"/>
    </font>
    <font>
      <b/>
      <sz val="11"/>
      <color theme="3"/>
      <name val="Arial"/>
      <family val="2"/>
      <scheme val="minor"/>
    </font>
    <font>
      <b/>
      <sz val="33"/>
      <color theme="4"/>
      <name val="Arial"/>
      <family val="2"/>
      <scheme val="minor"/>
    </font>
    <font>
      <sz val="8"/>
      <color theme="6"/>
      <name val="Arial"/>
      <family val="2"/>
      <scheme val="minor"/>
    </font>
    <font>
      <sz val="10"/>
      <color theme="0"/>
      <name val="Arial"/>
      <family val="2"/>
      <scheme val="minor"/>
    </font>
    <font>
      <sz val="12"/>
      <color theme="1" tint="0.249977111117893"/>
      <name val="Arial"/>
      <family val="2"/>
      <scheme val="minor"/>
    </font>
    <font>
      <b/>
      <sz val="12"/>
      <color theme="1" tint="0.249977111117893"/>
      <name val="Arial"/>
      <family val="2"/>
      <scheme val="minor"/>
    </font>
    <font>
      <b/>
      <sz val="28"/>
      <color theme="3"/>
      <name val="Arial"/>
      <family val="2"/>
      <scheme val="minor"/>
    </font>
    <font>
      <b/>
      <sz val="48"/>
      <color theme="3"/>
      <name val="Arial"/>
      <family val="2"/>
      <scheme val="minor"/>
    </font>
    <font>
      <b/>
      <sz val="18"/>
      <color rgb="FFFF0000"/>
      <name val="Verdana"/>
      <family val="2"/>
    </font>
    <font>
      <b/>
      <sz val="18"/>
      <color theme="3"/>
      <name val="Arial"/>
      <family val="2"/>
      <scheme val="minor"/>
    </font>
    <font>
      <b/>
      <vertAlign val="subscript"/>
      <sz val="12"/>
      <color theme="1" tint="0.249977111117893"/>
      <name val="Arial"/>
      <family val="2"/>
      <scheme val="minor"/>
    </font>
    <font>
      <vertAlign val="superscript"/>
      <sz val="12"/>
      <color theme="1" tint="0.249977111117893"/>
      <name val="Arial"/>
      <family val="2"/>
      <scheme val="minor"/>
    </font>
    <font>
      <b/>
      <sz val="36"/>
      <color theme="3"/>
      <name val="Arial"/>
      <family val="2"/>
      <scheme val="minor"/>
    </font>
    <font>
      <sz val="11"/>
      <color theme="1"/>
      <name val="Verdana"/>
      <family val="2"/>
    </font>
    <font>
      <b/>
      <sz val="22"/>
      <color rgb="FF002060"/>
      <name val="Verdana"/>
      <family val="2"/>
    </font>
    <font>
      <b/>
      <sz val="18"/>
      <color rgb="FF002060"/>
      <name val="Verdana"/>
      <family val="2"/>
    </font>
    <font>
      <b/>
      <sz val="9"/>
      <color theme="3"/>
      <name val="Arial"/>
      <family val="2"/>
      <scheme val="minor"/>
    </font>
    <font>
      <b/>
      <sz val="9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9"/>
      <color rgb="FF9C5700"/>
      <name val="Arial"/>
      <family val="2"/>
      <scheme val="minor"/>
    </font>
    <font>
      <b/>
      <i/>
      <sz val="9"/>
      <color theme="1"/>
      <name val="Arial"/>
      <family val="2"/>
      <scheme val="minor"/>
    </font>
    <font>
      <sz val="10"/>
      <name val="Tahoma"/>
      <family val="2"/>
    </font>
    <font>
      <b/>
      <sz val="14"/>
      <name val="Tahoma"/>
      <family val="2"/>
    </font>
    <font>
      <b/>
      <sz val="9"/>
      <color theme="0" tint="-4.9989318521683403E-2"/>
      <name val="Arial"/>
      <family val="2"/>
      <scheme val="minor"/>
    </font>
    <font>
      <b/>
      <sz val="10"/>
      <color theme="0" tint="-4.9989318521683403E-2"/>
      <name val="Tahoma"/>
      <family val="2"/>
    </font>
    <font>
      <b/>
      <sz val="10"/>
      <name val="Tahoma"/>
      <family val="2"/>
    </font>
    <font>
      <sz val="10"/>
      <color indexed="10"/>
      <name val="Tahoma"/>
      <family val="2"/>
    </font>
    <font>
      <sz val="8"/>
      <color indexed="81"/>
      <name val="Tahoma"/>
      <family val="2"/>
    </font>
    <font>
      <b/>
      <sz val="9"/>
      <color theme="3"/>
      <name val="Arial"/>
      <family val="2"/>
      <scheme val="minor"/>
    </font>
    <font>
      <sz val="9"/>
      <color theme="1"/>
      <name val="Arial"/>
      <family val="2"/>
      <scheme val="minor"/>
    </font>
    <font>
      <b/>
      <sz val="9"/>
      <name val="Arial"/>
      <family val="2"/>
    </font>
    <font>
      <b/>
      <sz val="11"/>
      <name val="Arial"/>
      <family val="2"/>
    </font>
    <font>
      <i/>
      <sz val="11"/>
      <color theme="1"/>
      <name val="Arial"/>
      <family val="2"/>
      <scheme val="minor"/>
    </font>
    <font>
      <b/>
      <sz val="9"/>
      <color theme="1"/>
      <name val="Arial"/>
      <family val="2"/>
      <scheme val="minor"/>
    </font>
    <font>
      <sz val="9"/>
      <name val="Arial"/>
      <family val="2"/>
    </font>
    <font>
      <b/>
      <sz val="11"/>
      <color theme="1"/>
      <name val="Arial"/>
      <family val="2"/>
      <scheme val="minor"/>
    </font>
    <font>
      <i/>
      <sz val="9"/>
      <color theme="1"/>
      <name val="Arial"/>
      <family val="2"/>
      <scheme val="minor"/>
    </font>
    <font>
      <b/>
      <i/>
      <sz val="14"/>
      <color theme="1"/>
      <name val="Arial"/>
      <family val="2"/>
      <scheme val="minor"/>
    </font>
    <font>
      <b/>
      <sz val="14"/>
      <color theme="1"/>
      <name val="Arial"/>
      <family val="2"/>
      <scheme val="minor"/>
    </font>
    <font>
      <sz val="9"/>
      <name val="Arial"/>
      <family val="2"/>
      <scheme val="minor"/>
    </font>
    <font>
      <b/>
      <sz val="9"/>
      <name val="Arial"/>
      <family val="2"/>
      <scheme val="minor"/>
    </font>
    <font>
      <b/>
      <sz val="9"/>
      <color theme="0"/>
      <name val="Arial"/>
      <family val="2"/>
      <scheme val="minor"/>
    </font>
    <font>
      <sz val="26"/>
      <color theme="0"/>
      <name val="Arial"/>
      <family val="2"/>
      <scheme val="minor"/>
    </font>
    <font>
      <b/>
      <sz val="28"/>
      <color theme="0"/>
      <name val="Arial"/>
      <family val="2"/>
      <scheme val="minor"/>
    </font>
    <font>
      <sz val="36"/>
      <color theme="0"/>
      <name val="Arial"/>
      <family val="2"/>
      <scheme val="minor"/>
    </font>
    <font>
      <b/>
      <sz val="27"/>
      <color theme="1" tint="0.14999847407452621"/>
      <name val="Inherit"/>
    </font>
    <font>
      <sz val="11"/>
      <color theme="1" tint="0.14999847407452621"/>
      <name val="Arial"/>
      <family val="2"/>
      <scheme val="minor"/>
    </font>
    <font>
      <sz val="11"/>
      <color rgb="FF333333"/>
      <name val="Inherit"/>
    </font>
    <font>
      <sz val="11"/>
      <color theme="1" tint="0.14999847407452621"/>
      <name val="Inherit"/>
    </font>
    <font>
      <b/>
      <i/>
      <sz val="11"/>
      <color theme="1" tint="0.14999847407452621"/>
      <name val="Inherit"/>
    </font>
    <font>
      <b/>
      <sz val="11"/>
      <color indexed="9"/>
      <name val="Arial"/>
      <family val="2"/>
      <scheme val="minor"/>
    </font>
    <font>
      <sz val="11"/>
      <color theme="1"/>
      <name val="Yu Gothic"/>
      <family val="2"/>
    </font>
    <font>
      <b/>
      <sz val="11"/>
      <color theme="1"/>
      <name val="Yu Gothic"/>
      <family val="2"/>
    </font>
    <font>
      <sz val="11"/>
      <color theme="1"/>
      <name val="Inherit"/>
    </font>
    <font>
      <u/>
      <sz val="11"/>
      <color theme="11"/>
      <name val="Arial"/>
      <family val="2"/>
      <scheme val="minor"/>
    </font>
    <font>
      <b/>
      <sz val="15"/>
      <color theme="3"/>
      <name val="Arial"/>
      <family val="2"/>
      <scheme val="minor"/>
    </font>
    <font>
      <b/>
      <sz val="18"/>
      <color rgb="FF002060"/>
      <name val="Verdana"/>
      <family val="2"/>
    </font>
    <font>
      <sz val="11"/>
      <color theme="1"/>
      <name val="Arial"/>
      <family val="2"/>
      <scheme val="minor"/>
    </font>
    <font>
      <b/>
      <sz val="18"/>
      <color theme="1"/>
      <name val="Arial"/>
      <family val="2"/>
      <scheme val="minor"/>
    </font>
    <font>
      <sz val="18"/>
      <color theme="0"/>
      <name val="Arial"/>
      <family val="2"/>
      <scheme val="minor"/>
    </font>
    <font>
      <sz val="18"/>
      <color theme="1"/>
      <name val="Arial"/>
      <family val="2"/>
      <scheme val="minor"/>
    </font>
    <font>
      <sz val="12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FF000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1"/>
      <color theme="1"/>
      <name val="Arial"/>
      <family val="1"/>
      <scheme val="major"/>
    </font>
    <font>
      <i/>
      <sz val="11"/>
      <color theme="1"/>
      <name val="Arial"/>
      <family val="2"/>
      <scheme val="minor"/>
    </font>
    <font>
      <vertAlign val="subscript"/>
      <sz val="11"/>
      <color theme="1"/>
      <name val="Arial"/>
      <family val="2"/>
      <scheme val="minor"/>
    </font>
    <font>
      <sz val="11"/>
      <color theme="1"/>
      <name val="Symbol"/>
      <family val="1"/>
      <charset val="2"/>
    </font>
    <font>
      <u/>
      <sz val="11"/>
      <color theme="10"/>
      <name val="Arial"/>
      <family val="2"/>
      <scheme val="minor"/>
    </font>
    <font>
      <i/>
      <sz val="10"/>
      <color theme="1"/>
      <name val="Cambria"/>
      <family val="1"/>
    </font>
    <font>
      <sz val="14"/>
      <color theme="1"/>
      <name val="Arial"/>
      <family val="2"/>
      <scheme val="minor"/>
    </font>
    <font>
      <b/>
      <sz val="20"/>
      <name val="Arial"/>
      <family val="2"/>
    </font>
    <font>
      <sz val="20"/>
      <color theme="1"/>
      <name val="Arial"/>
      <family val="2"/>
      <scheme val="minor"/>
    </font>
    <font>
      <sz val="11"/>
      <color theme="1" tint="0.34998626667073579"/>
      <name val="Arial"/>
      <family val="2"/>
      <scheme val="minor"/>
    </font>
    <font>
      <sz val="14"/>
      <color theme="1" tint="0.34998626667073579"/>
      <name val="Arial"/>
      <family val="2"/>
      <scheme val="minor"/>
    </font>
    <font>
      <sz val="11"/>
      <color theme="0"/>
      <name val="Inherit"/>
    </font>
    <font>
      <b/>
      <sz val="9"/>
      <color indexed="81"/>
      <name val="Tahoma"/>
      <family val="2"/>
    </font>
    <font>
      <b/>
      <sz val="14"/>
      <color indexed="81"/>
      <name val="Tahoma"/>
      <family val="2"/>
    </font>
    <font>
      <b/>
      <sz val="14"/>
      <color indexed="52"/>
      <name val="Arial"/>
      <family val="2"/>
      <scheme val="minor"/>
    </font>
    <font>
      <vertAlign val="subscript"/>
      <sz val="11"/>
      <color theme="1"/>
      <name val="Yu Gothic"/>
      <family val="2"/>
    </font>
    <font>
      <sz val="11"/>
      <color theme="10"/>
      <name val="Arial"/>
      <family val="2"/>
      <scheme val="minor"/>
    </font>
    <font>
      <sz val="11"/>
      <color rgb="FF000000"/>
      <name val="Arial"/>
      <family val="2"/>
      <scheme val="minor"/>
    </font>
    <font>
      <sz val="11"/>
      <color rgb="FF376092"/>
      <name val="Arial"/>
      <family val="2"/>
      <scheme val="minor"/>
    </font>
    <font>
      <i/>
      <u/>
      <sz val="11"/>
      <color theme="10"/>
      <name val="Arial"/>
      <family val="2"/>
      <scheme val="minor"/>
    </font>
    <font>
      <b/>
      <i/>
      <sz val="11"/>
      <color theme="0"/>
      <name val="Inhereit"/>
    </font>
    <font>
      <b/>
      <u/>
      <sz val="9"/>
      <color theme="1"/>
      <name val="Arial"/>
      <family val="2"/>
      <scheme val="minor"/>
    </font>
    <font>
      <sz val="14"/>
      <color theme="1" tint="0.34998626667073579"/>
      <name val="Webdings"/>
      <family val="1"/>
      <charset val="2"/>
    </font>
    <font>
      <b/>
      <sz val="9"/>
      <color indexed="9"/>
      <name val="Arial"/>
      <family val="2"/>
      <scheme val="minor"/>
    </font>
    <font>
      <b/>
      <sz val="12"/>
      <color indexed="9"/>
      <name val="Arial"/>
      <family val="2"/>
      <scheme val="minor"/>
    </font>
    <font>
      <b/>
      <sz val="14"/>
      <color indexed="9"/>
      <name val="Arial"/>
      <family val="2"/>
      <scheme val="minor"/>
    </font>
    <font>
      <b/>
      <sz val="36"/>
      <color rgb="FFCD7603"/>
      <name val="Arial"/>
      <family val="2"/>
      <scheme val="minor"/>
    </font>
    <font>
      <b/>
      <i/>
      <sz val="14"/>
      <color indexed="81"/>
      <name val="Tahoma"/>
      <family val="2"/>
    </font>
    <font>
      <sz val="8"/>
      <color rgb="FF000000"/>
      <name val="Segoe UI"/>
      <family val="2"/>
    </font>
    <font>
      <b/>
      <sz val="13"/>
      <color theme="0"/>
      <name val="Arial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EB9C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DDD305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medium">
        <color theme="1"/>
      </top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/>
      <bottom style="double">
        <color theme="0" tint="-0.34998626667073579"/>
      </bottom>
      <diagonal/>
    </border>
    <border>
      <left/>
      <right/>
      <top style="double">
        <color theme="0" tint="-0.34998626667073579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/>
      <top style="thin">
        <color rgb="FFFF0000"/>
      </top>
      <bottom/>
      <diagonal/>
    </border>
    <border>
      <left style="thin">
        <color indexed="64"/>
      </left>
      <right style="thin">
        <color indexed="64"/>
      </right>
      <top style="thin">
        <color rgb="FFFF0000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10"/>
      </left>
      <right/>
      <top style="medium">
        <color indexed="10"/>
      </top>
      <bottom style="thin">
        <color indexed="64"/>
      </bottom>
      <diagonal/>
    </border>
    <border>
      <left/>
      <right style="medium">
        <color indexed="10"/>
      </right>
      <top style="medium">
        <color indexed="10"/>
      </top>
      <bottom style="thin">
        <color indexed="64"/>
      </bottom>
      <diagonal/>
    </border>
    <border>
      <left style="medium">
        <color indexed="10"/>
      </left>
      <right/>
      <top style="thin">
        <color indexed="64"/>
      </top>
      <bottom/>
      <diagonal/>
    </border>
    <border>
      <left/>
      <right style="medium">
        <color indexed="10"/>
      </right>
      <top style="thin">
        <color indexed="64"/>
      </top>
      <bottom/>
      <diagonal/>
    </border>
    <border>
      <left style="medium">
        <color indexed="10"/>
      </left>
      <right/>
      <top/>
      <bottom/>
      <diagonal/>
    </border>
    <border>
      <left/>
      <right style="medium">
        <color indexed="10"/>
      </right>
      <top/>
      <bottom/>
      <diagonal/>
    </border>
    <border>
      <left style="medium">
        <color indexed="10"/>
      </left>
      <right/>
      <top/>
      <bottom style="medium">
        <color indexed="10"/>
      </bottom>
      <diagonal/>
    </border>
    <border>
      <left/>
      <right style="medium">
        <color indexed="10"/>
      </right>
      <top/>
      <bottom style="medium">
        <color indexed="10"/>
      </bottom>
      <diagonal/>
    </border>
    <border>
      <left style="medium">
        <color theme="0" tint="-0.14996795556505021"/>
      </left>
      <right/>
      <top style="medium">
        <color theme="0" tint="-0.14996795556505021"/>
      </top>
      <bottom/>
      <diagonal/>
    </border>
    <border>
      <left/>
      <right/>
      <top style="medium">
        <color theme="0" tint="-0.14996795556505021"/>
      </top>
      <bottom/>
      <diagonal/>
    </border>
    <border>
      <left/>
      <right style="medium">
        <color theme="0" tint="-0.14996795556505021"/>
      </right>
      <top style="medium">
        <color theme="0" tint="-0.14996795556505021"/>
      </top>
      <bottom/>
      <diagonal/>
    </border>
    <border>
      <left style="medium">
        <color theme="0" tint="-0.14996795556505021"/>
      </left>
      <right/>
      <top/>
      <bottom/>
      <diagonal/>
    </border>
    <border>
      <left/>
      <right style="medium">
        <color theme="0" tint="-0.14996795556505021"/>
      </right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/>
      <top/>
      <bottom style="thick">
        <color theme="1" tint="0.499984740745262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14">
    <xf numFmtId="0" fontId="0" fillId="0" borderId="0"/>
    <xf numFmtId="164" fontId="6" fillId="0" borderId="0" applyFont="0" applyFill="0" applyBorder="0" applyAlignment="0" applyProtection="0"/>
    <xf numFmtId="0" fontId="7" fillId="0" borderId="0" applyNumberFormat="0" applyFill="0" applyBorder="0" applyAlignment="0" applyProtection="0"/>
    <xf numFmtId="0" fontId="8" fillId="0" borderId="1" applyNumberFormat="0" applyFill="0" applyAlignment="0" applyProtection="0"/>
    <xf numFmtId="0" fontId="9" fillId="0" borderId="2" applyNumberFormat="0" applyFill="0" applyAlignment="0" applyProtection="0"/>
    <xf numFmtId="0" fontId="11" fillId="5" borderId="0" applyNumberFormat="0" applyBorder="0" applyAlignment="0" applyProtection="0"/>
    <xf numFmtId="0" fontId="41" fillId="0" borderId="0" applyNumberFormat="0" applyFill="0" applyBorder="0" applyAlignment="0" applyProtection="0"/>
    <xf numFmtId="0" fontId="52" fillId="0" borderId="57" applyNumberFormat="0" applyFill="0" applyAlignment="0" applyProtection="0"/>
    <xf numFmtId="0" fontId="52" fillId="0" borderId="0" applyNumberFormat="0" applyFill="0" applyBorder="0" applyAlignment="0" applyProtection="0"/>
    <xf numFmtId="0" fontId="54" fillId="0" borderId="60">
      <alignment horizontal="left" vertical="center"/>
    </xf>
    <xf numFmtId="0" fontId="71" fillId="24" borderId="0" applyNumberFormat="0" applyBorder="0" applyAlignment="0" applyProtection="0"/>
    <xf numFmtId="0" fontId="2" fillId="0" borderId="0"/>
    <xf numFmtId="0" fontId="73" fillId="0" borderId="0">
      <alignment vertical="top"/>
    </xf>
    <xf numFmtId="0" fontId="106" fillId="0" borderId="0" applyNumberFormat="0" applyFill="0" applyBorder="0" applyAlignment="0" applyProtection="0"/>
  </cellStyleXfs>
  <cellXfs count="573">
    <xf numFmtId="0" fontId="0" fillId="0" borderId="0" xfId="0"/>
    <xf numFmtId="0" fontId="0" fillId="3" borderId="0" xfId="0" applyFill="1"/>
    <xf numFmtId="0" fontId="0" fillId="4" borderId="0" xfId="0" applyFill="1"/>
    <xf numFmtId="0" fontId="0" fillId="0" borderId="10" xfId="0" applyBorder="1"/>
    <xf numFmtId="0" fontId="0" fillId="6" borderId="0" xfId="0" applyFill="1"/>
    <xf numFmtId="0" fontId="0" fillId="6" borderId="8" xfId="0" applyFill="1" applyBorder="1"/>
    <xf numFmtId="0" fontId="0" fillId="7" borderId="5" xfId="0" applyFill="1" applyBorder="1"/>
    <xf numFmtId="0" fontId="0" fillId="7" borderId="6" xfId="0" applyFill="1" applyBorder="1"/>
    <xf numFmtId="165" fontId="0" fillId="7" borderId="5" xfId="1" applyNumberFormat="1" applyFont="1" applyFill="1" applyBorder="1"/>
    <xf numFmtId="0" fontId="0" fillId="7" borderId="0" xfId="0" applyFill="1"/>
    <xf numFmtId="0" fontId="0" fillId="7" borderId="8" xfId="0" applyFill="1" applyBorder="1"/>
    <xf numFmtId="0" fontId="0" fillId="0" borderId="0" xfId="0" applyAlignment="1">
      <alignment vertical="center"/>
    </xf>
    <xf numFmtId="0" fontId="0" fillId="0" borderId="0" xfId="0" applyAlignment="1">
      <alignment wrapText="1"/>
    </xf>
    <xf numFmtId="0" fontId="17" fillId="7" borderId="0" xfId="0" applyFont="1" applyFill="1"/>
    <xf numFmtId="0" fontId="0" fillId="6" borderId="0" xfId="0" applyFill="1" applyAlignment="1">
      <alignment wrapText="1"/>
    </xf>
    <xf numFmtId="0" fontId="17" fillId="6" borderId="0" xfId="0" applyFont="1" applyFill="1"/>
    <xf numFmtId="166" fontId="0" fillId="6" borderId="0" xfId="0" applyNumberFormat="1" applyFill="1"/>
    <xf numFmtId="0" fontId="0" fillId="6" borderId="10" xfId="0" applyFill="1" applyBorder="1"/>
    <xf numFmtId="0" fontId="0" fillId="6" borderId="11" xfId="0" applyFill="1" applyBorder="1"/>
    <xf numFmtId="0" fontId="5" fillId="7" borderId="4" xfId="0" applyFont="1" applyFill="1" applyBorder="1" applyAlignment="1">
      <alignment horizontal="center"/>
    </xf>
    <xf numFmtId="0" fontId="0" fillId="9" borderId="0" xfId="0" applyFill="1"/>
    <xf numFmtId="0" fontId="5" fillId="7" borderId="7" xfId="0" applyFont="1" applyFill="1" applyBorder="1" applyAlignment="1">
      <alignment vertical="center"/>
    </xf>
    <xf numFmtId="165" fontId="0" fillId="7" borderId="0" xfId="1" applyNumberFormat="1" applyFont="1" applyFill="1"/>
    <xf numFmtId="0" fontId="16" fillId="6" borderId="7" xfId="0" applyFont="1" applyFill="1" applyBorder="1" applyAlignment="1">
      <alignment horizontal="center" vertical="center"/>
    </xf>
    <xf numFmtId="0" fontId="0" fillId="6" borderId="7" xfId="0" applyFill="1" applyBorder="1"/>
    <xf numFmtId="165" fontId="0" fillId="6" borderId="0" xfId="1" applyNumberFormat="1" applyFont="1" applyFill="1"/>
    <xf numFmtId="0" fontId="0" fillId="4" borderId="16" xfId="0" applyFill="1" applyBorder="1"/>
    <xf numFmtId="0" fontId="13" fillId="7" borderId="5" xfId="5" applyFont="1" applyFill="1" applyBorder="1"/>
    <xf numFmtId="0" fontId="12" fillId="7" borderId="4" xfId="0" applyFont="1" applyFill="1" applyBorder="1"/>
    <xf numFmtId="0" fontId="13" fillId="7" borderId="6" xfId="5" applyFont="1" applyFill="1" applyBorder="1"/>
    <xf numFmtId="0" fontId="12" fillId="7" borderId="5" xfId="5" applyFont="1" applyFill="1" applyBorder="1"/>
    <xf numFmtId="0" fontId="14" fillId="4" borderId="0" xfId="0" applyFont="1" applyFill="1"/>
    <xf numFmtId="0" fontId="14" fillId="0" borderId="0" xfId="0" applyFont="1"/>
    <xf numFmtId="0" fontId="19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5" fillId="0" borderId="0" xfId="0" applyFont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7" borderId="4" xfId="0" applyFont="1" applyFill="1" applyBorder="1" applyAlignment="1">
      <alignment horizontal="center"/>
    </xf>
    <xf numFmtId="0" fontId="5" fillId="6" borderId="7" xfId="0" applyFont="1" applyFill="1" applyBorder="1" applyAlignment="1">
      <alignment horizontal="center" vertical="center"/>
    </xf>
    <xf numFmtId="0" fontId="0" fillId="4" borderId="0" xfId="0" applyFill="1" applyAlignment="1">
      <alignment vertical="center"/>
    </xf>
    <xf numFmtId="0" fontId="3" fillId="7" borderId="0" xfId="0" applyFont="1" applyFill="1"/>
    <xf numFmtId="0" fontId="0" fillId="6" borderId="17" xfId="0" applyFill="1" applyBorder="1"/>
    <xf numFmtId="0" fontId="5" fillId="6" borderId="7" xfId="0" applyFont="1" applyFill="1" applyBorder="1" applyAlignment="1">
      <alignment vertical="center"/>
    </xf>
    <xf numFmtId="0" fontId="3" fillId="6" borderId="0" xfId="0" applyFont="1" applyFill="1"/>
    <xf numFmtId="0" fontId="16" fillId="7" borderId="7" xfId="0" applyFont="1" applyFill="1" applyBorder="1" applyAlignment="1">
      <alignment horizontal="center" vertical="center"/>
    </xf>
    <xf numFmtId="0" fontId="0" fillId="6" borderId="16" xfId="0" applyFill="1" applyBorder="1"/>
    <xf numFmtId="0" fontId="5" fillId="6" borderId="0" xfId="0" applyFont="1" applyFill="1" applyAlignment="1">
      <alignment vertical="center"/>
    </xf>
    <xf numFmtId="0" fontId="3" fillId="6" borderId="9" xfId="0" applyFont="1" applyFill="1" applyBorder="1"/>
    <xf numFmtId="0" fontId="3" fillId="6" borderId="10" xfId="0" applyFont="1" applyFill="1" applyBorder="1"/>
    <xf numFmtId="2" fontId="5" fillId="2" borderId="12" xfId="0" applyNumberFormat="1" applyFont="1" applyFill="1" applyBorder="1" applyAlignment="1">
      <alignment vertical="center"/>
    </xf>
    <xf numFmtId="0" fontId="5" fillId="2" borderId="13" xfId="0" applyFont="1" applyFill="1" applyBorder="1" applyAlignment="1">
      <alignment vertical="center"/>
    </xf>
    <xf numFmtId="0" fontId="5" fillId="2" borderId="14" xfId="0" applyFont="1" applyFill="1" applyBorder="1" applyAlignment="1">
      <alignment vertical="center"/>
    </xf>
    <xf numFmtId="0" fontId="0" fillId="0" borderId="0" xfId="0" applyAlignment="1">
      <alignment horizontal="center" vertical="center" wrapText="1"/>
    </xf>
    <xf numFmtId="167" fontId="0" fillId="0" borderId="0" xfId="0" applyNumberFormat="1" applyAlignment="1">
      <alignment wrapText="1"/>
    </xf>
    <xf numFmtId="0" fontId="10" fillId="11" borderId="18" xfId="0" applyFont="1" applyFill="1" applyBorder="1" applyAlignment="1">
      <alignment horizontal="center" vertical="center" wrapText="1"/>
    </xf>
    <xf numFmtId="167" fontId="0" fillId="12" borderId="0" xfId="0" applyNumberFormat="1" applyFill="1" applyAlignment="1">
      <alignment wrapText="1"/>
    </xf>
    <xf numFmtId="167" fontId="0" fillId="12" borderId="19" xfId="0" applyNumberFormat="1" applyFill="1" applyBorder="1" applyAlignment="1">
      <alignment wrapText="1"/>
    </xf>
    <xf numFmtId="0" fontId="12" fillId="7" borderId="7" xfId="0" applyFont="1" applyFill="1" applyBorder="1"/>
    <xf numFmtId="0" fontId="12" fillId="7" borderId="0" xfId="5" applyFont="1" applyFill="1"/>
    <xf numFmtId="0" fontId="5" fillId="6" borderId="9" xfId="0" applyFont="1" applyFill="1" applyBorder="1" applyAlignment="1">
      <alignment horizontal="center" vertical="center"/>
    </xf>
    <xf numFmtId="0" fontId="0" fillId="6" borderId="10" xfId="0" applyFill="1" applyBorder="1" applyAlignment="1">
      <alignment vertical="center"/>
    </xf>
    <xf numFmtId="0" fontId="0" fillId="6" borderId="11" xfId="0" applyFill="1" applyBorder="1" applyAlignment="1">
      <alignment vertical="center"/>
    </xf>
    <xf numFmtId="0" fontId="17" fillId="7" borderId="8" xfId="0" applyFont="1" applyFill="1" applyBorder="1"/>
    <xf numFmtId="0" fontId="0" fillId="6" borderId="9" xfId="0" applyFill="1" applyBorder="1" applyAlignment="1">
      <alignment vertical="center"/>
    </xf>
    <xf numFmtId="0" fontId="17" fillId="7" borderId="7" xfId="0" applyFont="1" applyFill="1" applyBorder="1" applyAlignment="1">
      <alignment horizontal="left" vertical="center"/>
    </xf>
    <xf numFmtId="0" fontId="16" fillId="6" borderId="7" xfId="0" applyFont="1" applyFill="1" applyBorder="1" applyAlignment="1">
      <alignment horizontal="right" vertical="center"/>
    </xf>
    <xf numFmtId="0" fontId="0" fillId="6" borderId="7" xfId="0" applyFill="1" applyBorder="1" applyAlignment="1">
      <alignment horizontal="right"/>
    </xf>
    <xf numFmtId="164" fontId="5" fillId="2" borderId="12" xfId="1" applyFont="1" applyFill="1" applyBorder="1" applyAlignment="1">
      <alignment vertical="center"/>
    </xf>
    <xf numFmtId="0" fontId="16" fillId="6" borderId="15" xfId="0" applyFont="1" applyFill="1" applyBorder="1" applyAlignment="1">
      <alignment horizontal="right" vertical="center"/>
    </xf>
    <xf numFmtId="0" fontId="24" fillId="7" borderId="0" xfId="0" applyFont="1" applyFill="1"/>
    <xf numFmtId="0" fontId="0" fillId="9" borderId="5" xfId="0" applyFill="1" applyBorder="1"/>
    <xf numFmtId="0" fontId="14" fillId="9" borderId="0" xfId="0" applyFont="1" applyFill="1"/>
    <xf numFmtId="0" fontId="0" fillId="9" borderId="0" xfId="0" applyFill="1" applyAlignment="1">
      <alignment vertical="center"/>
    </xf>
    <xf numFmtId="0" fontId="15" fillId="0" borderId="0" xfId="0" applyFont="1" applyAlignment="1">
      <alignment horizontal="left" vertical="center" wrapText="1"/>
    </xf>
    <xf numFmtId="0" fontId="0" fillId="0" borderId="16" xfId="0" applyBorder="1"/>
    <xf numFmtId="0" fontId="19" fillId="0" borderId="16" xfId="0" applyFont="1" applyBorder="1" applyAlignment="1">
      <alignment horizontal="center" vertical="center"/>
    </xf>
    <xf numFmtId="0" fontId="0" fillId="0" borderId="21" xfId="0" applyBorder="1"/>
    <xf numFmtId="0" fontId="19" fillId="0" borderId="21" xfId="0" applyFont="1" applyBorder="1" applyAlignment="1">
      <alignment horizontal="center" vertical="center"/>
    </xf>
    <xf numFmtId="0" fontId="19" fillId="0" borderId="10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8" fillId="7" borderId="0" xfId="0" applyFont="1" applyFill="1" applyAlignment="1">
      <alignment horizontal="left"/>
    </xf>
    <xf numFmtId="0" fontId="34" fillId="7" borderId="0" xfId="0" applyFont="1" applyFill="1" applyAlignment="1">
      <alignment horizontal="center"/>
    </xf>
    <xf numFmtId="0" fontId="0" fillId="17" borderId="0" xfId="0" applyFill="1" applyAlignment="1">
      <alignment vertical="center"/>
    </xf>
    <xf numFmtId="0" fontId="17" fillId="17" borderId="0" xfId="0" applyFont="1" applyFill="1" applyAlignment="1">
      <alignment vertical="center"/>
    </xf>
    <xf numFmtId="0" fontId="17" fillId="9" borderId="0" xfId="0" applyFont="1" applyFill="1" applyAlignment="1">
      <alignment vertical="center"/>
    </xf>
    <xf numFmtId="0" fontId="0" fillId="17" borderId="5" xfId="0" applyFill="1" applyBorder="1" applyAlignment="1">
      <alignment vertical="center"/>
    </xf>
    <xf numFmtId="0" fontId="17" fillId="17" borderId="5" xfId="0" applyFont="1" applyFill="1" applyBorder="1" applyAlignment="1">
      <alignment vertical="center"/>
    </xf>
    <xf numFmtId="2" fontId="0" fillId="6" borderId="44" xfId="0" applyNumberFormat="1" applyFill="1" applyBorder="1" applyAlignment="1">
      <alignment vertical="center"/>
    </xf>
    <xf numFmtId="2" fontId="0" fillId="6" borderId="23" xfId="0" applyNumberFormat="1" applyFill="1" applyBorder="1" applyAlignment="1">
      <alignment vertical="center"/>
    </xf>
    <xf numFmtId="2" fontId="0" fillId="6" borderId="27" xfId="0" applyNumberFormat="1" applyFill="1" applyBorder="1" applyAlignment="1">
      <alignment vertical="center"/>
    </xf>
    <xf numFmtId="2" fontId="0" fillId="6" borderId="45" xfId="0" applyNumberFormat="1" applyFill="1" applyBorder="1" applyAlignment="1">
      <alignment vertical="center"/>
    </xf>
    <xf numFmtId="2" fontId="0" fillId="6" borderId="25" xfId="0" applyNumberFormat="1" applyFill="1" applyBorder="1" applyAlignment="1">
      <alignment vertical="center"/>
    </xf>
    <xf numFmtId="2" fontId="0" fillId="6" borderId="22" xfId="0" applyNumberFormat="1" applyFill="1" applyBorder="1" applyAlignment="1">
      <alignment vertical="center"/>
    </xf>
    <xf numFmtId="2" fontId="0" fillId="16" borderId="39" xfId="0" applyNumberFormat="1" applyFill="1" applyBorder="1" applyAlignment="1">
      <alignment vertical="center"/>
    </xf>
    <xf numFmtId="2" fontId="0" fillId="16" borderId="40" xfId="0" applyNumberFormat="1" applyFill="1" applyBorder="1" applyAlignment="1">
      <alignment vertical="center"/>
    </xf>
    <xf numFmtId="0" fontId="17" fillId="9" borderId="0" xfId="0" applyFont="1" applyFill="1" applyAlignment="1">
      <alignment horizontal="center"/>
    </xf>
    <xf numFmtId="0" fontId="35" fillId="9" borderId="0" xfId="0" applyFont="1" applyFill="1" applyAlignment="1">
      <alignment horizontal="center" vertical="center"/>
    </xf>
    <xf numFmtId="0" fontId="17" fillId="9" borderId="31" xfId="0" applyFont="1" applyFill="1" applyBorder="1" applyAlignment="1">
      <alignment vertical="center"/>
    </xf>
    <xf numFmtId="0" fontId="17" fillId="9" borderId="32" xfId="0" applyFont="1" applyFill="1" applyBorder="1" applyAlignment="1">
      <alignment vertical="center"/>
    </xf>
    <xf numFmtId="0" fontId="3" fillId="9" borderId="24" xfId="0" applyFont="1" applyFill="1" applyBorder="1" applyAlignment="1">
      <alignment vertical="center"/>
    </xf>
    <xf numFmtId="0" fontId="17" fillId="9" borderId="24" xfId="0" applyFont="1" applyFill="1" applyBorder="1" applyAlignment="1">
      <alignment horizontal="center" vertical="center"/>
    </xf>
    <xf numFmtId="0" fontId="17" fillId="9" borderId="25" xfId="0" applyFont="1" applyFill="1" applyBorder="1" applyAlignment="1">
      <alignment vertical="center"/>
    </xf>
    <xf numFmtId="0" fontId="0" fillId="9" borderId="5" xfId="0" applyFill="1" applyBorder="1" applyAlignment="1">
      <alignment vertical="center"/>
    </xf>
    <xf numFmtId="0" fontId="0" fillId="9" borderId="24" xfId="0" applyFill="1" applyBorder="1" applyAlignment="1">
      <alignment vertical="center"/>
    </xf>
    <xf numFmtId="2" fontId="0" fillId="9" borderId="24" xfId="0" applyNumberFormat="1" applyFill="1" applyBorder="1" applyAlignment="1">
      <alignment vertical="center"/>
    </xf>
    <xf numFmtId="2" fontId="0" fillId="6" borderId="32" xfId="0" applyNumberFormat="1" applyFill="1" applyBorder="1" applyAlignment="1">
      <alignment vertical="center"/>
    </xf>
    <xf numFmtId="2" fontId="0" fillId="16" borderId="46" xfId="0" applyNumberFormat="1" applyFill="1" applyBorder="1" applyAlignment="1">
      <alignment vertical="center"/>
    </xf>
    <xf numFmtId="2" fontId="0" fillId="6" borderId="47" xfId="0" applyNumberFormat="1" applyFill="1" applyBorder="1" applyAlignment="1">
      <alignment vertical="center"/>
    </xf>
    <xf numFmtId="2" fontId="0" fillId="16" borderId="42" xfId="0" applyNumberFormat="1" applyFill="1" applyBorder="1" applyAlignment="1">
      <alignment vertical="center"/>
    </xf>
    <xf numFmtId="0" fontId="0" fillId="7" borderId="7" xfId="0" applyFill="1" applyBorder="1" applyAlignment="1">
      <alignment horizontal="center" vertical="center" wrapText="1"/>
    </xf>
    <xf numFmtId="0" fontId="0" fillId="7" borderId="7" xfId="0" applyFill="1" applyBorder="1" applyAlignment="1">
      <alignment horizontal="center" vertical="center"/>
    </xf>
    <xf numFmtId="0" fontId="0" fillId="13" borderId="0" xfId="0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0" fillId="10" borderId="0" xfId="0" applyFill="1"/>
    <xf numFmtId="0" fontId="3" fillId="9" borderId="23" xfId="0" applyFont="1" applyFill="1" applyBorder="1" applyAlignment="1">
      <alignment vertical="center"/>
    </xf>
    <xf numFmtId="0" fontId="0" fillId="9" borderId="36" xfId="0" applyFill="1" applyBorder="1" applyAlignment="1">
      <alignment vertical="center"/>
    </xf>
    <xf numFmtId="0" fontId="0" fillId="9" borderId="48" xfId="0" applyFill="1" applyBorder="1" applyAlignment="1">
      <alignment vertical="center"/>
    </xf>
    <xf numFmtId="0" fontId="17" fillId="9" borderId="5" xfId="0" applyFont="1" applyFill="1" applyBorder="1" applyAlignment="1">
      <alignment horizontal="center"/>
    </xf>
    <xf numFmtId="0" fontId="3" fillId="9" borderId="49" xfId="0" applyFont="1" applyFill="1" applyBorder="1" applyAlignment="1">
      <alignment vertical="center"/>
    </xf>
    <xf numFmtId="2" fontId="3" fillId="9" borderId="20" xfId="0" applyNumberFormat="1" applyFont="1" applyFill="1" applyBorder="1" applyAlignment="1">
      <alignment vertical="center"/>
    </xf>
    <xf numFmtId="0" fontId="3" fillId="9" borderId="20" xfId="0" applyFont="1" applyFill="1" applyBorder="1" applyAlignment="1">
      <alignment vertical="center"/>
    </xf>
    <xf numFmtId="0" fontId="23" fillId="9" borderId="20" xfId="0" applyFont="1" applyFill="1" applyBorder="1" applyAlignment="1">
      <alignment horizontal="center" vertical="center"/>
    </xf>
    <xf numFmtId="0" fontId="23" fillId="9" borderId="47" xfId="0" applyFont="1" applyFill="1" applyBorder="1" applyAlignment="1">
      <alignment vertical="center"/>
    </xf>
    <xf numFmtId="2" fontId="3" fillId="7" borderId="47" xfId="0" applyNumberFormat="1" applyFont="1" applyFill="1" applyBorder="1" applyAlignment="1">
      <alignment vertical="center"/>
    </xf>
    <xf numFmtId="2" fontId="3" fillId="13" borderId="42" xfId="0" applyNumberFormat="1" applyFont="1" applyFill="1" applyBorder="1" applyAlignment="1">
      <alignment vertical="center"/>
    </xf>
    <xf numFmtId="2" fontId="0" fillId="6" borderId="41" xfId="0" applyNumberFormat="1" applyFill="1" applyBorder="1" applyAlignment="1">
      <alignment vertical="center"/>
    </xf>
    <xf numFmtId="2" fontId="0" fillId="6" borderId="38" xfId="0" applyNumberFormat="1" applyFill="1" applyBorder="1" applyAlignment="1">
      <alignment vertical="center"/>
    </xf>
    <xf numFmtId="0" fontId="3" fillId="7" borderId="28" xfId="0" applyFont="1" applyFill="1" applyBorder="1" applyAlignment="1">
      <alignment horizontal="center" vertical="center"/>
    </xf>
    <xf numFmtId="0" fontId="3" fillId="13" borderId="43" xfId="0" applyFont="1" applyFill="1" applyBorder="1" applyAlignment="1">
      <alignment horizontal="center" vertical="center"/>
    </xf>
    <xf numFmtId="0" fontId="39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0" fillId="0" borderId="0" xfId="0" applyFont="1" applyAlignment="1">
      <alignment horizontal="left"/>
    </xf>
    <xf numFmtId="0" fontId="39" fillId="0" borderId="0" xfId="0" applyFont="1"/>
    <xf numFmtId="0" fontId="0" fillId="10" borderId="24" xfId="0" applyFill="1" applyBorder="1"/>
    <xf numFmtId="0" fontId="0" fillId="10" borderId="25" xfId="0" applyFill="1" applyBorder="1"/>
    <xf numFmtId="0" fontId="0" fillId="10" borderId="33" xfId="0" applyFill="1" applyBorder="1"/>
    <xf numFmtId="0" fontId="0" fillId="10" borderId="32" xfId="0" applyFill="1" applyBorder="1"/>
    <xf numFmtId="0" fontId="0" fillId="10" borderId="27" xfId="0" applyFill="1" applyBorder="1"/>
    <xf numFmtId="0" fontId="0" fillId="10" borderId="21" xfId="0" applyFill="1" applyBorder="1"/>
    <xf numFmtId="0" fontId="0" fillId="10" borderId="34" xfId="0" applyFill="1" applyBorder="1"/>
    <xf numFmtId="0" fontId="0" fillId="10" borderId="16" xfId="0" applyFill="1" applyBorder="1"/>
    <xf numFmtId="0" fontId="0" fillId="10" borderId="23" xfId="0" applyFill="1" applyBorder="1"/>
    <xf numFmtId="0" fontId="0" fillId="10" borderId="22" xfId="0" applyFill="1" applyBorder="1" applyAlignment="1">
      <alignment horizontal="center"/>
    </xf>
    <xf numFmtId="0" fontId="0" fillId="10" borderId="23" xfId="0" applyFill="1" applyBorder="1" applyAlignment="1">
      <alignment horizontal="center"/>
    </xf>
    <xf numFmtId="0" fontId="0" fillId="10" borderId="25" xfId="0" applyFill="1" applyBorder="1" applyAlignment="1">
      <alignment horizontal="center"/>
    </xf>
    <xf numFmtId="0" fontId="0" fillId="10" borderId="28" xfId="0" applyFill="1" applyBorder="1"/>
    <xf numFmtId="0" fontId="0" fillId="10" borderId="29" xfId="0" applyFill="1" applyBorder="1"/>
    <xf numFmtId="0" fontId="0" fillId="10" borderId="30" xfId="0" applyFill="1" applyBorder="1"/>
    <xf numFmtId="0" fontId="0" fillId="10" borderId="22" xfId="0" applyFill="1" applyBorder="1"/>
    <xf numFmtId="0" fontId="41" fillId="6" borderId="0" xfId="6" applyFill="1"/>
    <xf numFmtId="0" fontId="0" fillId="6" borderId="22" xfId="0" applyFill="1" applyBorder="1" applyAlignment="1">
      <alignment vertical="center"/>
    </xf>
    <xf numFmtId="0" fontId="0" fillId="6" borderId="22" xfId="0" applyFill="1" applyBorder="1"/>
    <xf numFmtId="0" fontId="0" fillId="14" borderId="53" xfId="0" applyFill="1" applyBorder="1" applyAlignment="1">
      <alignment vertical="center"/>
    </xf>
    <xf numFmtId="0" fontId="0" fillId="6" borderId="53" xfId="0" applyFill="1" applyBorder="1"/>
    <xf numFmtId="0" fontId="0" fillId="6" borderId="55" xfId="0" applyFill="1" applyBorder="1"/>
    <xf numFmtId="0" fontId="3" fillId="7" borderId="52" xfId="0" applyFont="1" applyFill="1" applyBorder="1" applyAlignment="1">
      <alignment vertical="center"/>
    </xf>
    <xf numFmtId="0" fontId="3" fillId="7" borderId="38" xfId="0" applyFont="1" applyFill="1" applyBorder="1" applyAlignment="1">
      <alignment vertical="center"/>
    </xf>
    <xf numFmtId="0" fontId="0" fillId="9" borderId="0" xfId="0" applyFill="1" applyAlignment="1">
      <alignment horizontal="center" vertical="center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/>
    </xf>
    <xf numFmtId="0" fontId="3" fillId="9" borderId="39" xfId="0" applyFont="1" applyFill="1" applyBorder="1" applyAlignment="1">
      <alignment vertical="center" wrapText="1"/>
    </xf>
    <xf numFmtId="0" fontId="0" fillId="9" borderId="40" xfId="0" applyFill="1" applyBorder="1" applyAlignment="1">
      <alignment vertical="center"/>
    </xf>
    <xf numFmtId="0" fontId="0" fillId="9" borderId="40" xfId="0" applyFill="1" applyBorder="1"/>
    <xf numFmtId="0" fontId="19" fillId="9" borderId="0" xfId="0" applyFont="1" applyFill="1" applyAlignment="1">
      <alignment vertical="center"/>
    </xf>
    <xf numFmtId="0" fontId="40" fillId="9" borderId="0" xfId="0" applyFont="1" applyFill="1"/>
    <xf numFmtId="0" fontId="3" fillId="9" borderId="38" xfId="0" applyFont="1" applyFill="1" applyBorder="1" applyAlignment="1">
      <alignment vertical="center"/>
    </xf>
    <xf numFmtId="0" fontId="0" fillId="9" borderId="22" xfId="0" applyFill="1" applyBorder="1" applyAlignment="1">
      <alignment vertical="center"/>
    </xf>
    <xf numFmtId="0" fontId="0" fillId="9" borderId="22" xfId="0" applyFill="1" applyBorder="1"/>
    <xf numFmtId="0" fontId="0" fillId="9" borderId="0" xfId="0" applyFill="1" applyAlignment="1">
      <alignment vertical="center" wrapText="1"/>
    </xf>
    <xf numFmtId="0" fontId="48" fillId="9" borderId="48" xfId="0" applyFont="1" applyFill="1" applyBorder="1" applyAlignment="1">
      <alignment vertical="center"/>
    </xf>
    <xf numFmtId="2" fontId="48" fillId="6" borderId="23" xfId="0" applyNumberFormat="1" applyFont="1" applyFill="1" applyBorder="1" applyAlignment="1">
      <alignment vertical="center"/>
    </xf>
    <xf numFmtId="0" fontId="48" fillId="17" borderId="0" xfId="0" applyFont="1" applyFill="1" applyAlignment="1">
      <alignment vertical="center"/>
    </xf>
    <xf numFmtId="0" fontId="51" fillId="9" borderId="0" xfId="0" applyFont="1" applyFill="1" applyAlignment="1">
      <alignment vertical="center"/>
    </xf>
    <xf numFmtId="0" fontId="51" fillId="17" borderId="0" xfId="0" applyFont="1" applyFill="1" applyAlignment="1">
      <alignment vertical="center"/>
    </xf>
    <xf numFmtId="2" fontId="48" fillId="6" borderId="25" xfId="0" applyNumberFormat="1" applyFont="1" applyFill="1" applyBorder="1" applyAlignment="1">
      <alignment vertical="center"/>
    </xf>
    <xf numFmtId="2" fontId="48" fillId="16" borderId="40" xfId="0" applyNumberFormat="1" applyFont="1" applyFill="1" applyBorder="1" applyAlignment="1">
      <alignment vertical="center"/>
    </xf>
    <xf numFmtId="0" fontId="8" fillId="18" borderId="0" xfId="3" applyFill="1" applyBorder="1" applyAlignment="1">
      <alignment vertical="center"/>
    </xf>
    <xf numFmtId="0" fontId="14" fillId="19" borderId="0" xfId="0" applyFont="1" applyFill="1"/>
    <xf numFmtId="0" fontId="0" fillId="19" borderId="0" xfId="0" applyFill="1"/>
    <xf numFmtId="0" fontId="65" fillId="19" borderId="0" xfId="0" applyFont="1" applyFill="1"/>
    <xf numFmtId="0" fontId="0" fillId="19" borderId="0" xfId="0" applyFill="1" applyAlignment="1">
      <alignment vertical="center"/>
    </xf>
    <xf numFmtId="0" fontId="28" fillId="19" borderId="0" xfId="0" applyFont="1" applyFill="1"/>
    <xf numFmtId="0" fontId="29" fillId="19" borderId="0" xfId="0" applyFont="1" applyFill="1"/>
    <xf numFmtId="0" fontId="3" fillId="19" borderId="0" xfId="0" applyFont="1" applyFill="1"/>
    <xf numFmtId="0" fontId="66" fillId="19" borderId="0" xfId="2" applyFont="1" applyFill="1"/>
    <xf numFmtId="0" fontId="67" fillId="19" borderId="0" xfId="2" applyFont="1" applyFill="1"/>
    <xf numFmtId="0" fontId="66" fillId="9" borderId="0" xfId="2" applyFont="1" applyFill="1"/>
    <xf numFmtId="0" fontId="0" fillId="9" borderId="3" xfId="0" applyFill="1" applyBorder="1" applyProtection="1">
      <protection locked="0"/>
    </xf>
    <xf numFmtId="167" fontId="0" fillId="0" borderId="3" xfId="0" applyNumberFormat="1" applyBorder="1" applyProtection="1">
      <protection locked="0"/>
    </xf>
    <xf numFmtId="0" fontId="0" fillId="0" borderId="3" xfId="0" applyBorder="1" applyProtection="1">
      <protection locked="0"/>
    </xf>
    <xf numFmtId="0" fontId="52" fillId="18" borderId="0" xfId="7" applyFill="1" applyBorder="1" applyAlignment="1">
      <alignment vertical="center"/>
    </xf>
    <xf numFmtId="0" fontId="52" fillId="9" borderId="0" xfId="7" applyFill="1" applyBorder="1" applyAlignment="1">
      <alignment vertical="center"/>
    </xf>
    <xf numFmtId="0" fontId="0" fillId="21" borderId="0" xfId="0" applyFill="1" applyProtection="1">
      <protection hidden="1"/>
    </xf>
    <xf numFmtId="0" fontId="2" fillId="0" borderId="0" xfId="11"/>
    <xf numFmtId="0" fontId="2" fillId="0" borderId="0" xfId="11" applyAlignment="1">
      <alignment horizontal="center"/>
    </xf>
    <xf numFmtId="1" fontId="2" fillId="0" borderId="0" xfId="11" applyNumberFormat="1" applyAlignment="1">
      <alignment horizontal="center"/>
    </xf>
    <xf numFmtId="168" fontId="72" fillId="0" borderId="0" xfId="11" applyNumberFormat="1" applyFont="1" applyAlignment="1">
      <alignment horizontal="left" indent="1"/>
    </xf>
    <xf numFmtId="1" fontId="2" fillId="0" borderId="0" xfId="11" applyNumberFormat="1" applyAlignment="1">
      <alignment horizontal="left"/>
    </xf>
    <xf numFmtId="169" fontId="71" fillId="24" borderId="16" xfId="10" applyNumberFormat="1" applyBorder="1" applyAlignment="1">
      <alignment horizontal="center"/>
    </xf>
    <xf numFmtId="168" fontId="2" fillId="0" borderId="0" xfId="11" applyNumberFormat="1" applyAlignment="1">
      <alignment horizontal="left" indent="1"/>
    </xf>
    <xf numFmtId="3" fontId="71" fillId="24" borderId="16" xfId="10" applyNumberFormat="1" applyBorder="1" applyAlignment="1">
      <alignment horizontal="center"/>
    </xf>
    <xf numFmtId="0" fontId="69" fillId="6" borderId="68" xfId="11" applyFont="1" applyFill="1" applyBorder="1"/>
    <xf numFmtId="169" fontId="69" fillId="6" borderId="68" xfId="11" applyNumberFormat="1" applyFont="1" applyFill="1" applyBorder="1" applyAlignment="1">
      <alignment horizontal="center"/>
    </xf>
    <xf numFmtId="0" fontId="69" fillId="0" borderId="0" xfId="11" applyFont="1"/>
    <xf numFmtId="0" fontId="69" fillId="0" borderId="0" xfId="11" applyFont="1" applyAlignment="1">
      <alignment horizontal="center"/>
    </xf>
    <xf numFmtId="169" fontId="69" fillId="0" borderId="0" xfId="11" applyNumberFormat="1" applyFont="1" applyAlignment="1">
      <alignment horizontal="center"/>
    </xf>
    <xf numFmtId="0" fontId="70" fillId="0" borderId="0" xfId="11" applyFont="1"/>
    <xf numFmtId="0" fontId="74" fillId="0" borderId="0" xfId="12" applyFont="1" applyAlignment="1">
      <alignment horizontal="center" vertical="top"/>
    </xf>
    <xf numFmtId="0" fontId="75" fillId="25" borderId="0" xfId="11" applyFont="1" applyFill="1" applyAlignment="1">
      <alignment horizontal="center" vertical="center" wrapText="1"/>
    </xf>
    <xf numFmtId="1" fontId="75" fillId="25" borderId="0" xfId="11" applyNumberFormat="1" applyFont="1" applyFill="1" applyAlignment="1">
      <alignment horizontal="center" vertical="center" wrapText="1"/>
    </xf>
    <xf numFmtId="168" fontId="75" fillId="25" borderId="0" xfId="11" applyNumberFormat="1" applyFont="1" applyFill="1" applyAlignment="1">
      <alignment horizontal="center" vertical="center" wrapText="1"/>
    </xf>
    <xf numFmtId="0" fontId="2" fillId="0" borderId="0" xfId="11" applyAlignment="1">
      <alignment horizontal="center" vertical="center"/>
    </xf>
    <xf numFmtId="0" fontId="76" fillId="25" borderId="69" xfId="12" applyFont="1" applyFill="1" applyBorder="1" applyAlignment="1">
      <alignment horizontal="center" vertical="center"/>
    </xf>
    <xf numFmtId="14" fontId="76" fillId="25" borderId="70" xfId="12" applyNumberFormat="1" applyFont="1" applyFill="1" applyBorder="1" applyAlignment="1">
      <alignment horizontal="center" vertical="center"/>
    </xf>
    <xf numFmtId="0" fontId="69" fillId="6" borderId="23" xfId="11" applyFont="1" applyFill="1" applyBorder="1"/>
    <xf numFmtId="14" fontId="2" fillId="6" borderId="24" xfId="11" applyNumberFormat="1" applyFill="1" applyBorder="1" applyAlignment="1">
      <alignment horizontal="center"/>
    </xf>
    <xf numFmtId="1" fontId="2" fillId="6" borderId="24" xfId="11" applyNumberFormat="1" applyFill="1" applyBorder="1" applyAlignment="1">
      <alignment horizontal="center"/>
    </xf>
    <xf numFmtId="168" fontId="2" fillId="6" borderId="24" xfId="11" applyNumberFormat="1" applyFill="1" applyBorder="1" applyAlignment="1">
      <alignment horizontal="left" indent="1"/>
    </xf>
    <xf numFmtId="169" fontId="2" fillId="6" borderId="24" xfId="11" applyNumberFormat="1" applyFill="1" applyBorder="1" applyAlignment="1">
      <alignment horizontal="center"/>
    </xf>
    <xf numFmtId="1" fontId="2" fillId="6" borderId="24" xfId="11" applyNumberFormat="1" applyFill="1" applyBorder="1" applyAlignment="1">
      <alignment horizontal="left"/>
    </xf>
    <xf numFmtId="1" fontId="2" fillId="6" borderId="25" xfId="11" applyNumberFormat="1" applyFill="1" applyBorder="1" applyAlignment="1">
      <alignment horizontal="center"/>
    </xf>
    <xf numFmtId="0" fontId="77" fillId="0" borderId="0" xfId="12" applyFont="1" applyAlignment="1">
      <alignment horizontal="center" vertical="top"/>
    </xf>
    <xf numFmtId="0" fontId="77" fillId="0" borderId="71" xfId="12" applyFont="1" applyBorder="1">
      <alignment vertical="top"/>
    </xf>
    <xf numFmtId="14" fontId="73" fillId="0" borderId="72" xfId="12" applyNumberFormat="1" applyBorder="1" applyAlignment="1">
      <alignment horizontal="center" vertical="top"/>
    </xf>
    <xf numFmtId="0" fontId="73" fillId="0" borderId="0" xfId="12">
      <alignment vertical="top"/>
    </xf>
    <xf numFmtId="0" fontId="2" fillId="19" borderId="0" xfId="11" applyFill="1"/>
    <xf numFmtId="14" fontId="2" fillId="19" borderId="0" xfId="11" applyNumberFormat="1" applyFill="1" applyAlignment="1">
      <alignment horizontal="center"/>
    </xf>
    <xf numFmtId="1" fontId="2" fillId="19" borderId="0" xfId="11" applyNumberFormat="1" applyFill="1" applyAlignment="1">
      <alignment horizontal="center"/>
    </xf>
    <xf numFmtId="168" fontId="2" fillId="19" borderId="0" xfId="11" applyNumberFormat="1" applyFill="1" applyAlignment="1">
      <alignment horizontal="left" indent="1"/>
    </xf>
    <xf numFmtId="169" fontId="2" fillId="19" borderId="0" xfId="11" applyNumberFormat="1" applyFill="1" applyAlignment="1">
      <alignment horizontal="center"/>
    </xf>
    <xf numFmtId="1" fontId="2" fillId="19" borderId="0" xfId="11" applyNumberFormat="1" applyFill="1" applyAlignment="1">
      <alignment horizontal="left"/>
    </xf>
    <xf numFmtId="0" fontId="73" fillId="0" borderId="0" xfId="12" applyAlignment="1">
      <alignment horizontal="center" vertical="top"/>
    </xf>
    <xf numFmtId="0" fontId="73" fillId="0" borderId="73" xfId="12" applyBorder="1">
      <alignment vertical="top"/>
    </xf>
    <xf numFmtId="14" fontId="73" fillId="0" borderId="74" xfId="12" applyNumberFormat="1" applyBorder="1" applyAlignment="1">
      <alignment horizontal="center" vertical="top"/>
    </xf>
    <xf numFmtId="14" fontId="78" fillId="0" borderId="74" xfId="12" applyNumberFormat="1" applyFont="1" applyBorder="1" applyAlignment="1">
      <alignment horizontal="center" vertical="top"/>
    </xf>
    <xf numFmtId="0" fontId="77" fillId="0" borderId="73" xfId="12" applyFont="1" applyBorder="1">
      <alignment vertical="top"/>
    </xf>
    <xf numFmtId="16" fontId="73" fillId="0" borderId="73" xfId="12" applyNumberFormat="1" applyBorder="1">
      <alignment vertical="top"/>
    </xf>
    <xf numFmtId="0" fontId="73" fillId="0" borderId="75" xfId="12" applyBorder="1">
      <alignment vertical="top"/>
    </xf>
    <xf numFmtId="14" fontId="73" fillId="0" borderId="76" xfId="12" applyNumberFormat="1" applyBorder="1" applyAlignment="1">
      <alignment horizontal="center" vertical="top"/>
    </xf>
    <xf numFmtId="0" fontId="80" fillId="22" borderId="29" xfId="3" applyFont="1" applyFill="1" applyBorder="1" applyAlignment="1">
      <alignment vertical="center"/>
    </xf>
    <xf numFmtId="0" fontId="80" fillId="18" borderId="0" xfId="3" applyFont="1" applyFill="1" applyBorder="1" applyAlignment="1">
      <alignment vertical="center"/>
    </xf>
    <xf numFmtId="0" fontId="80" fillId="18" borderId="0" xfId="3" applyFont="1" applyFill="1" applyBorder="1" applyAlignment="1">
      <alignment horizontal="center" vertical="center"/>
    </xf>
    <xf numFmtId="0" fontId="81" fillId="22" borderId="67" xfId="0" applyFont="1" applyFill="1" applyBorder="1"/>
    <xf numFmtId="0" fontId="81" fillId="0" borderId="66" xfId="0" applyFont="1" applyBorder="1"/>
    <xf numFmtId="0" fontId="81" fillId="0" borderId="66" xfId="0" applyFont="1" applyBorder="1" applyAlignment="1">
      <alignment horizontal="center"/>
    </xf>
    <xf numFmtId="0" fontId="81" fillId="22" borderId="29" xfId="0" applyFont="1" applyFill="1" applyBorder="1"/>
    <xf numFmtId="0" fontId="81" fillId="0" borderId="0" xfId="0" applyFont="1"/>
    <xf numFmtId="0" fontId="82" fillId="0" borderId="0" xfId="0" applyFont="1"/>
    <xf numFmtId="14" fontId="83" fillId="3" borderId="22" xfId="0" applyNumberFormat="1" applyFont="1" applyFill="1" applyBorder="1" applyAlignment="1">
      <alignment horizontal="center"/>
    </xf>
    <xf numFmtId="0" fontId="81" fillId="0" borderId="0" xfId="0" applyFont="1" applyAlignment="1">
      <alignment horizontal="center"/>
    </xf>
    <xf numFmtId="0" fontId="84" fillId="0" borderId="0" xfId="0" applyFont="1"/>
    <xf numFmtId="0" fontId="85" fillId="0" borderId="0" xfId="0" applyFont="1"/>
    <xf numFmtId="0" fontId="86" fillId="0" borderId="0" xfId="0" applyFont="1"/>
    <xf numFmtId="0" fontId="86" fillId="0" borderId="0" xfId="0" applyFont="1" applyAlignment="1">
      <alignment horizontal="center"/>
    </xf>
    <xf numFmtId="0" fontId="87" fillId="0" borderId="0" xfId="0" applyFont="1"/>
    <xf numFmtId="0" fontId="87" fillId="0" borderId="0" xfId="0" applyFont="1" applyAlignment="1">
      <alignment horizontal="center"/>
    </xf>
    <xf numFmtId="0" fontId="88" fillId="0" borderId="0" xfId="0" applyFont="1"/>
    <xf numFmtId="0" fontId="89" fillId="0" borderId="0" xfId="0" applyFont="1"/>
    <xf numFmtId="0" fontId="90" fillId="0" borderId="0" xfId="0" applyFont="1" applyAlignment="1">
      <alignment horizontal="left"/>
    </xf>
    <xf numFmtId="0" fontId="85" fillId="0" borderId="22" xfId="0" applyFont="1" applyBorder="1" applyAlignment="1">
      <alignment horizontal="center"/>
    </xf>
    <xf numFmtId="0" fontId="81" fillId="0" borderId="22" xfId="0" applyFont="1" applyBorder="1"/>
    <xf numFmtId="0" fontId="91" fillId="0" borderId="0" xfId="0" applyFont="1" applyProtection="1">
      <protection locked="0"/>
    </xf>
    <xf numFmtId="0" fontId="92" fillId="0" borderId="0" xfId="0" applyFont="1" applyProtection="1">
      <protection locked="0"/>
    </xf>
    <xf numFmtId="0" fontId="92" fillId="23" borderId="0" xfId="0" applyFont="1" applyFill="1" applyProtection="1">
      <protection locked="0"/>
    </xf>
    <xf numFmtId="0" fontId="91" fillId="23" borderId="0" xfId="0" applyFont="1" applyFill="1" applyProtection="1">
      <protection locked="0"/>
    </xf>
    <xf numFmtId="0" fontId="81" fillId="23" borderId="0" xfId="0" applyFont="1" applyFill="1"/>
    <xf numFmtId="0" fontId="81" fillId="23" borderId="0" xfId="0" applyFont="1" applyFill="1" applyAlignment="1">
      <alignment horizontal="center"/>
    </xf>
    <xf numFmtId="0" fontId="93" fillId="20" borderId="0" xfId="0" applyFont="1" applyFill="1" applyAlignment="1" applyProtection="1">
      <alignment horizontal="center"/>
      <protection locked="0"/>
    </xf>
    <xf numFmtId="0" fontId="81" fillId="22" borderId="48" xfId="0" applyFont="1" applyFill="1" applyBorder="1"/>
    <xf numFmtId="0" fontId="81" fillId="3" borderId="61" xfId="0" applyFont="1" applyFill="1" applyBorder="1" applyAlignment="1">
      <alignment horizontal="center"/>
    </xf>
    <xf numFmtId="0" fontId="81" fillId="3" borderId="61" xfId="0" applyFont="1" applyFill="1" applyBorder="1"/>
    <xf numFmtId="0" fontId="81" fillId="22" borderId="31" xfId="0" applyFont="1" applyFill="1" applyBorder="1"/>
    <xf numFmtId="0" fontId="6" fillId="18" borderId="0" xfId="0" applyFont="1" applyFill="1"/>
    <xf numFmtId="0" fontId="6" fillId="0" borderId="0" xfId="0" applyFont="1"/>
    <xf numFmtId="0" fontId="11" fillId="18" borderId="0" xfId="0" applyFont="1" applyFill="1"/>
    <xf numFmtId="0" fontId="94" fillId="18" borderId="0" xfId="3" applyFont="1" applyFill="1" applyBorder="1" applyAlignment="1">
      <alignment vertical="center"/>
    </xf>
    <xf numFmtId="0" fontId="95" fillId="18" borderId="0" xfId="3" applyFont="1" applyFill="1" applyBorder="1"/>
    <xf numFmtId="0" fontId="96" fillId="18" borderId="0" xfId="3" applyFont="1" applyFill="1" applyBorder="1"/>
    <xf numFmtId="0" fontId="58" fillId="18" borderId="0" xfId="3" applyFont="1" applyFill="1" applyBorder="1"/>
    <xf numFmtId="0" fontId="6" fillId="18" borderId="82" xfId="0" applyFont="1" applyFill="1" applyBorder="1"/>
    <xf numFmtId="0" fontId="68" fillId="27" borderId="0" xfId="3" applyFont="1" applyFill="1" applyBorder="1" applyAlignment="1" applyProtection="1">
      <alignment vertical="center"/>
      <protection hidden="1"/>
    </xf>
    <xf numFmtId="0" fontId="107" fillId="18" borderId="0" xfId="3" applyFont="1" applyFill="1" applyBorder="1" applyAlignment="1">
      <alignment vertical="center"/>
    </xf>
    <xf numFmtId="0" fontId="108" fillId="19" borderId="0" xfId="2" applyFont="1" applyFill="1"/>
    <xf numFmtId="0" fontId="109" fillId="9" borderId="0" xfId="0" applyFont="1" applyFill="1"/>
    <xf numFmtId="0" fontId="109" fillId="0" borderId="0" xfId="0" applyFont="1"/>
    <xf numFmtId="0" fontId="110" fillId="13" borderId="4" xfId="0" applyFont="1" applyFill="1" applyBorder="1" applyAlignment="1">
      <alignment horizontal="center" vertical="center"/>
    </xf>
    <xf numFmtId="0" fontId="110" fillId="13" borderId="5" xfId="5" applyFont="1" applyFill="1" applyBorder="1" applyAlignment="1">
      <alignment vertical="center"/>
    </xf>
    <xf numFmtId="0" fontId="111" fillId="13" borderId="5" xfId="5" applyFont="1" applyFill="1" applyBorder="1"/>
    <xf numFmtId="0" fontId="111" fillId="13" borderId="6" xfId="5" applyFont="1" applyFill="1" applyBorder="1"/>
    <xf numFmtId="0" fontId="112" fillId="8" borderId="0" xfId="0" applyFont="1" applyFill="1"/>
    <xf numFmtId="0" fontId="110" fillId="13" borderId="4" xfId="0" applyFont="1" applyFill="1" applyBorder="1" applyAlignment="1">
      <alignment horizontal="center" vertical="top"/>
    </xf>
    <xf numFmtId="0" fontId="110" fillId="13" borderId="5" xfId="5" applyFont="1" applyFill="1" applyBorder="1" applyAlignment="1">
      <alignment horizontal="left" vertical="center"/>
    </xf>
    <xf numFmtId="165" fontId="109" fillId="13" borderId="5" xfId="1" applyNumberFormat="1" applyFont="1" applyFill="1" applyBorder="1" applyAlignment="1">
      <alignment vertical="center"/>
    </xf>
    <xf numFmtId="0" fontId="109" fillId="13" borderId="5" xfId="0" applyFont="1" applyFill="1" applyBorder="1" applyAlignment="1">
      <alignment vertical="center"/>
    </xf>
    <xf numFmtId="0" fontId="109" fillId="13" borderId="6" xfId="0" applyFont="1" applyFill="1" applyBorder="1"/>
    <xf numFmtId="0" fontId="115" fillId="13" borderId="7" xfId="0" applyFont="1" applyFill="1" applyBorder="1" applyAlignment="1">
      <alignment vertical="center"/>
    </xf>
    <xf numFmtId="0" fontId="109" fillId="13" borderId="0" xfId="0" applyFont="1" applyFill="1"/>
    <xf numFmtId="165" fontId="109" fillId="13" borderId="0" xfId="1" applyNumberFormat="1" applyFont="1" applyFill="1"/>
    <xf numFmtId="0" fontId="109" fillId="13" borderId="8" xfId="0" applyFont="1" applyFill="1" applyBorder="1"/>
    <xf numFmtId="0" fontId="109" fillId="8" borderId="0" xfId="0" applyFont="1" applyFill="1"/>
    <xf numFmtId="0" fontId="110" fillId="13" borderId="7" xfId="0" applyFont="1" applyFill="1" applyBorder="1" applyAlignment="1">
      <alignment horizontal="center"/>
    </xf>
    <xf numFmtId="0" fontId="110" fillId="13" borderId="0" xfId="5" applyFont="1" applyFill="1" applyAlignment="1">
      <alignment horizontal="center"/>
    </xf>
    <xf numFmtId="0" fontId="116" fillId="13" borderId="0" xfId="0" applyFont="1" applyFill="1"/>
    <xf numFmtId="0" fontId="117" fillId="13" borderId="0" xfId="0" applyFont="1" applyFill="1"/>
    <xf numFmtId="0" fontId="118" fillId="13" borderId="7" xfId="0" applyFont="1" applyFill="1" applyBorder="1" applyAlignment="1">
      <alignment horizontal="center" vertical="center"/>
    </xf>
    <xf numFmtId="0" fontId="119" fillId="13" borderId="0" xfId="0" applyFont="1" applyFill="1"/>
    <xf numFmtId="0" fontId="119" fillId="13" borderId="8" xfId="0" applyFont="1" applyFill="1" applyBorder="1"/>
    <xf numFmtId="0" fontId="109" fillId="13" borderId="7" xfId="0" applyFont="1" applyFill="1" applyBorder="1"/>
    <xf numFmtId="0" fontId="118" fillId="16" borderId="7" xfId="0" applyFont="1" applyFill="1" applyBorder="1" applyAlignment="1">
      <alignment horizontal="right"/>
    </xf>
    <xf numFmtId="0" fontId="109" fillId="16" borderId="0" xfId="0" applyFont="1" applyFill="1" applyAlignment="1">
      <alignment wrapText="1"/>
    </xf>
    <xf numFmtId="0" fontId="109" fillId="16" borderId="0" xfId="0" applyFont="1" applyFill="1"/>
    <xf numFmtId="0" fontId="109" fillId="16" borderId="8" xfId="0" applyFont="1" applyFill="1" applyBorder="1"/>
    <xf numFmtId="0" fontId="118" fillId="16" borderId="7" xfId="0" applyFont="1" applyFill="1" applyBorder="1" applyAlignment="1">
      <alignment horizontal="center" vertical="center"/>
    </xf>
    <xf numFmtId="0" fontId="119" fillId="16" borderId="0" xfId="0" applyFont="1" applyFill="1"/>
    <xf numFmtId="0" fontId="115" fillId="16" borderId="7" xfId="0" applyFont="1" applyFill="1" applyBorder="1" applyAlignment="1">
      <alignment vertical="center"/>
    </xf>
    <xf numFmtId="0" fontId="117" fillId="16" borderId="0" xfId="0" applyFont="1" applyFill="1"/>
    <xf numFmtId="0" fontId="115" fillId="16" borderId="0" xfId="0" applyFont="1" applyFill="1" applyAlignment="1">
      <alignment vertical="center"/>
    </xf>
    <xf numFmtId="2" fontId="117" fillId="15" borderId="23" xfId="0" applyNumberFormat="1" applyFont="1" applyFill="1" applyBorder="1" applyAlignment="1">
      <alignment vertical="center"/>
    </xf>
    <xf numFmtId="0" fontId="115" fillId="15" borderId="24" xfId="0" applyFont="1" applyFill="1" applyBorder="1" applyAlignment="1">
      <alignment vertical="center"/>
    </xf>
    <xf numFmtId="0" fontId="115" fillId="15" borderId="25" xfId="0" applyFont="1" applyFill="1" applyBorder="1" applyAlignment="1">
      <alignment vertical="center"/>
    </xf>
    <xf numFmtId="0" fontId="118" fillId="16" borderId="7" xfId="0" applyFont="1" applyFill="1" applyBorder="1" applyAlignment="1">
      <alignment horizontal="right" vertical="center"/>
    </xf>
    <xf numFmtId="0" fontId="109" fillId="0" borderId="3" xfId="0" applyFont="1" applyBorder="1" applyProtection="1">
      <protection locked="0"/>
    </xf>
    <xf numFmtId="0" fontId="109" fillId="16" borderId="7" xfId="0" applyFont="1" applyFill="1" applyBorder="1"/>
    <xf numFmtId="2" fontId="117" fillId="2" borderId="12" xfId="0" applyNumberFormat="1" applyFont="1" applyFill="1" applyBorder="1" applyAlignment="1">
      <alignment vertical="center"/>
    </xf>
    <xf numFmtId="0" fontId="115" fillId="2" borderId="13" xfId="0" applyFont="1" applyFill="1" applyBorder="1" applyAlignment="1">
      <alignment vertical="center"/>
    </xf>
    <xf numFmtId="0" fontId="115" fillId="2" borderId="14" xfId="0" applyFont="1" applyFill="1" applyBorder="1" applyAlignment="1">
      <alignment vertical="center"/>
    </xf>
    <xf numFmtId="0" fontId="115" fillId="16" borderId="9" xfId="0" applyFont="1" applyFill="1" applyBorder="1" applyAlignment="1">
      <alignment horizontal="center" vertical="center"/>
    </xf>
    <xf numFmtId="0" fontId="109" fillId="16" borderId="10" xfId="0" applyFont="1" applyFill="1" applyBorder="1" applyAlignment="1">
      <alignment vertical="center"/>
    </xf>
    <xf numFmtId="0" fontId="109" fillId="16" borderId="10" xfId="0" applyFont="1" applyFill="1" applyBorder="1"/>
    <xf numFmtId="0" fontId="109" fillId="16" borderId="11" xfId="0" applyFont="1" applyFill="1" applyBorder="1" applyAlignment="1">
      <alignment vertical="center"/>
    </xf>
    <xf numFmtId="0" fontId="109" fillId="16" borderId="0" xfId="0" applyFont="1" applyFill="1" applyAlignment="1">
      <alignment vertical="center"/>
    </xf>
    <xf numFmtId="0" fontId="110" fillId="13" borderId="4" xfId="0" applyFont="1" applyFill="1" applyBorder="1" applyAlignment="1">
      <alignment horizontal="center"/>
    </xf>
    <xf numFmtId="0" fontId="110" fillId="13" borderId="5" xfId="5" applyFont="1" applyFill="1" applyBorder="1" applyAlignment="1">
      <alignment horizontal="left"/>
    </xf>
    <xf numFmtId="165" fontId="109" fillId="13" borderId="5" xfId="1" applyNumberFormat="1" applyFont="1" applyFill="1" applyBorder="1"/>
    <xf numFmtId="0" fontId="109" fillId="13" borderId="5" xfId="0" applyFont="1" applyFill="1" applyBorder="1"/>
    <xf numFmtId="165" fontId="109" fillId="16" borderId="0" xfId="1" applyNumberFormat="1" applyFont="1" applyFill="1"/>
    <xf numFmtId="0" fontId="121" fillId="16" borderId="7" xfId="0" applyFont="1" applyFill="1" applyBorder="1" applyAlignment="1">
      <alignment horizontal="center" vertical="center"/>
    </xf>
    <xf numFmtId="0" fontId="117" fillId="16" borderId="7" xfId="0" applyFont="1" applyFill="1" applyBorder="1"/>
    <xf numFmtId="2" fontId="117" fillId="15" borderId="23" xfId="0" applyNumberFormat="1" applyFont="1" applyFill="1" applyBorder="1"/>
    <xf numFmtId="0" fontId="109" fillId="9" borderId="3" xfId="0" applyFont="1" applyFill="1" applyBorder="1" applyAlignment="1" applyProtection="1">
      <alignment vertical="center"/>
      <protection locked="0"/>
    </xf>
    <xf numFmtId="0" fontId="117" fillId="9" borderId="0" xfId="0" applyFont="1" applyFill="1"/>
    <xf numFmtId="0" fontId="117" fillId="0" borderId="0" xfId="0" applyFont="1"/>
    <xf numFmtId="0" fontId="117" fillId="16" borderId="9" xfId="0" applyFont="1" applyFill="1" applyBorder="1"/>
    <xf numFmtId="0" fontId="117" fillId="16" borderId="10" xfId="0" applyFont="1" applyFill="1" applyBorder="1"/>
    <xf numFmtId="0" fontId="117" fillId="16" borderId="11" xfId="0" applyFont="1" applyFill="1" applyBorder="1"/>
    <xf numFmtId="0" fontId="110" fillId="13" borderId="5" xfId="5" applyFont="1" applyFill="1" applyBorder="1"/>
    <xf numFmtId="0" fontId="109" fillId="8" borderId="0" xfId="0" applyFont="1" applyFill="1" applyAlignment="1">
      <alignment vertical="center"/>
    </xf>
    <xf numFmtId="0" fontId="110" fillId="13" borderId="5" xfId="5" applyFont="1" applyFill="1" applyBorder="1" applyAlignment="1">
      <alignment horizontal="left" vertical="top"/>
    </xf>
    <xf numFmtId="0" fontId="109" fillId="16" borderId="11" xfId="0" applyFont="1" applyFill="1" applyBorder="1"/>
    <xf numFmtId="0" fontId="109" fillId="9" borderId="0" xfId="0" applyFont="1" applyFill="1" applyAlignment="1">
      <alignment vertical="center"/>
    </xf>
    <xf numFmtId="0" fontId="109" fillId="9" borderId="3" xfId="0" applyFont="1" applyFill="1" applyBorder="1" applyProtection="1">
      <protection locked="0"/>
    </xf>
    <xf numFmtId="0" fontId="122" fillId="16" borderId="0" xfId="6" applyFont="1" applyFill="1"/>
    <xf numFmtId="0" fontId="123" fillId="9" borderId="0" xfId="0" applyFont="1" applyFill="1" applyAlignment="1">
      <alignment vertical="center"/>
    </xf>
    <xf numFmtId="0" fontId="123" fillId="9" borderId="0" xfId="0" applyFont="1" applyFill="1" applyAlignment="1">
      <alignment horizontal="left" vertical="center" indent="3"/>
    </xf>
    <xf numFmtId="0" fontId="0" fillId="9" borderId="22" xfId="0" applyFill="1" applyBorder="1" applyAlignment="1">
      <alignment horizontal="center"/>
    </xf>
    <xf numFmtId="0" fontId="0" fillId="28" borderId="23" xfId="0" applyFill="1" applyBorder="1"/>
    <xf numFmtId="0" fontId="0" fillId="28" borderId="25" xfId="0" applyFill="1" applyBorder="1"/>
    <xf numFmtId="0" fontId="0" fillId="3" borderId="23" xfId="0" applyFill="1" applyBorder="1"/>
    <xf numFmtId="0" fontId="0" fillId="3" borderId="25" xfId="0" applyFill="1" applyBorder="1"/>
    <xf numFmtId="0" fontId="40" fillId="3" borderId="22" xfId="0" applyFont="1" applyFill="1" applyBorder="1" applyAlignment="1">
      <alignment horizontal="center"/>
    </xf>
    <xf numFmtId="0" fontId="0" fillId="29" borderId="33" xfId="0" applyFill="1" applyBorder="1"/>
    <xf numFmtId="0" fontId="0" fillId="29" borderId="32" xfId="0" applyFill="1" applyBorder="1"/>
    <xf numFmtId="0" fontId="0" fillId="28" borderId="27" xfId="0" applyFill="1" applyBorder="1"/>
    <xf numFmtId="0" fontId="0" fillId="28" borderId="33" xfId="0" applyFill="1" applyBorder="1"/>
    <xf numFmtId="0" fontId="0" fillId="28" borderId="34" xfId="0" applyFill="1" applyBorder="1"/>
    <xf numFmtId="0" fontId="0" fillId="28" borderId="32" xfId="0" applyFill="1" applyBorder="1"/>
    <xf numFmtId="0" fontId="0" fillId="10" borderId="28" xfId="0" applyFill="1" applyBorder="1" applyAlignment="1">
      <alignment horizontal="center"/>
    </xf>
    <xf numFmtId="0" fontId="0" fillId="10" borderId="30" xfId="0" applyFill="1" applyBorder="1" applyAlignment="1">
      <alignment horizontal="center"/>
    </xf>
    <xf numFmtId="0" fontId="0" fillId="10" borderId="29" xfId="0" applyFill="1" applyBorder="1" applyAlignment="1">
      <alignment horizontal="center"/>
    </xf>
    <xf numFmtId="0" fontId="0" fillId="28" borderId="48" xfId="0" applyFill="1" applyBorder="1"/>
    <xf numFmtId="0" fontId="0" fillId="28" borderId="31" xfId="0" applyFill="1" applyBorder="1"/>
    <xf numFmtId="0" fontId="39" fillId="9" borderId="22" xfId="0" applyFont="1" applyFill="1" applyBorder="1"/>
    <xf numFmtId="0" fontId="39" fillId="9" borderId="22" xfId="0" applyFont="1" applyFill="1" applyBorder="1" applyAlignment="1">
      <alignment horizontal="center"/>
    </xf>
    <xf numFmtId="0" fontId="0" fillId="9" borderId="0" xfId="0" applyFill="1" applyAlignment="1">
      <alignment vertical="top" wrapText="1"/>
    </xf>
    <xf numFmtId="0" fontId="125" fillId="9" borderId="0" xfId="0" applyFont="1" applyFill="1"/>
    <xf numFmtId="0" fontId="126" fillId="9" borderId="0" xfId="0" applyFont="1" applyFill="1"/>
    <xf numFmtId="0" fontId="83" fillId="9" borderId="0" xfId="0" applyFont="1" applyFill="1" applyAlignment="1">
      <alignment horizontal="center" vertical="center" textRotation="45"/>
    </xf>
    <xf numFmtId="0" fontId="127" fillId="9" borderId="0" xfId="0" applyFont="1" applyFill="1"/>
    <xf numFmtId="0" fontId="128" fillId="9" borderId="23" xfId="0" applyFont="1" applyFill="1" applyBorder="1"/>
    <xf numFmtId="0" fontId="128" fillId="9" borderId="24" xfId="0" applyFont="1" applyFill="1" applyBorder="1"/>
    <xf numFmtId="0" fontId="127" fillId="9" borderId="24" xfId="0" applyFont="1" applyFill="1" applyBorder="1"/>
    <xf numFmtId="0" fontId="127" fillId="9" borderId="25" xfId="0" applyFont="1" applyFill="1" applyBorder="1"/>
    <xf numFmtId="0" fontId="127" fillId="9" borderId="23" xfId="0" applyFont="1" applyFill="1" applyBorder="1"/>
    <xf numFmtId="0" fontId="127" fillId="9" borderId="27" xfId="0" applyFont="1" applyFill="1" applyBorder="1"/>
    <xf numFmtId="0" fontId="127" fillId="9" borderId="21" xfId="0" applyFont="1" applyFill="1" applyBorder="1"/>
    <xf numFmtId="0" fontId="127" fillId="9" borderId="33" xfId="0" applyFont="1" applyFill="1" applyBorder="1"/>
    <xf numFmtId="0" fontId="127" fillId="9" borderId="34" xfId="0" applyFont="1" applyFill="1" applyBorder="1"/>
    <xf numFmtId="0" fontId="127" fillId="9" borderId="16" xfId="0" applyFont="1" applyFill="1" applyBorder="1"/>
    <xf numFmtId="0" fontId="127" fillId="9" borderId="32" xfId="0" applyFont="1" applyFill="1" applyBorder="1"/>
    <xf numFmtId="0" fontId="2" fillId="3" borderId="61" xfId="0" applyFont="1" applyFill="1" applyBorder="1"/>
    <xf numFmtId="0" fontId="0" fillId="21" borderId="0" xfId="0" applyFill="1"/>
    <xf numFmtId="0" fontId="36" fillId="13" borderId="7" xfId="0" applyFont="1" applyFill="1" applyBorder="1" applyAlignment="1">
      <alignment horizontal="left"/>
    </xf>
    <xf numFmtId="0" fontId="40" fillId="29" borderId="27" xfId="0" applyFont="1" applyFill="1" applyBorder="1"/>
    <xf numFmtId="0" fontId="40" fillId="29" borderId="34" xfId="0" applyFont="1" applyFill="1" applyBorder="1" applyAlignment="1">
      <alignment vertical="top"/>
    </xf>
    <xf numFmtId="0" fontId="0" fillId="9" borderId="0" xfId="0" applyFill="1" applyProtection="1">
      <protection hidden="1"/>
    </xf>
    <xf numFmtId="0" fontId="58" fillId="9" borderId="58" xfId="7" applyFont="1" applyFill="1" applyBorder="1" applyAlignment="1">
      <alignment vertical="center"/>
    </xf>
    <xf numFmtId="0" fontId="52" fillId="9" borderId="58" xfId="7" applyFill="1" applyBorder="1" applyAlignment="1">
      <alignment vertical="center"/>
    </xf>
    <xf numFmtId="0" fontId="0" fillId="9" borderId="58" xfId="0" applyFill="1" applyBorder="1" applyAlignment="1">
      <alignment vertical="center"/>
    </xf>
    <xf numFmtId="0" fontId="52" fillId="9" borderId="57" xfId="7" applyFill="1" applyAlignment="1">
      <alignment vertical="center"/>
    </xf>
    <xf numFmtId="0" fontId="61" fillId="9" borderId="0" xfId="7" applyFont="1" applyFill="1" applyBorder="1" applyAlignment="1">
      <alignment vertical="center"/>
    </xf>
    <xf numFmtId="9" fontId="53" fillId="9" borderId="59" xfId="4" applyNumberFormat="1" applyFont="1" applyFill="1" applyBorder="1" applyAlignment="1">
      <alignment horizontal="center" vertical="center"/>
    </xf>
    <xf numFmtId="0" fontId="56" fillId="9" borderId="60" xfId="9" applyFont="1" applyFill="1" applyAlignment="1">
      <alignment horizontal="center" vertical="center" wrapText="1"/>
    </xf>
    <xf numFmtId="9" fontId="53" fillId="9" borderId="0" xfId="4" applyNumberFormat="1" applyFont="1" applyFill="1" applyBorder="1" applyAlignment="1">
      <alignment horizontal="center" vertical="center"/>
    </xf>
    <xf numFmtId="14" fontId="38" fillId="9" borderId="61" xfId="8" applyNumberFormat="1" applyFont="1" applyFill="1" applyBorder="1" applyAlignment="1">
      <alignment horizontal="center" vertical="center"/>
    </xf>
    <xf numFmtId="165" fontId="38" fillId="9" borderId="65" xfId="0" applyNumberFormat="1" applyFont="1" applyFill="1" applyBorder="1" applyAlignment="1">
      <alignment horizontal="center" vertical="center"/>
    </xf>
    <xf numFmtId="167" fontId="38" fillId="9" borderId="61" xfId="8" applyNumberFormat="1" applyFont="1" applyFill="1" applyBorder="1" applyAlignment="1">
      <alignment horizontal="center" vertical="center"/>
    </xf>
    <xf numFmtId="167" fontId="0" fillId="9" borderId="0" xfId="0" applyNumberFormat="1" applyFill="1"/>
    <xf numFmtId="0" fontId="56" fillId="9" borderId="60" xfId="0" applyFont="1" applyFill="1" applyBorder="1" applyAlignment="1">
      <alignment horizontal="center" vertical="center"/>
    </xf>
    <xf numFmtId="0" fontId="56" fillId="9" borderId="60" xfId="0" applyFont="1" applyFill="1" applyBorder="1" applyAlignment="1">
      <alignment horizontal="left" vertical="center"/>
    </xf>
    <xf numFmtId="0" fontId="0" fillId="9" borderId="0" xfId="0" applyFill="1" applyAlignment="1">
      <alignment horizontal="left" vertical="center"/>
    </xf>
    <xf numFmtId="0" fontId="56" fillId="9" borderId="60" xfId="9" applyFont="1" applyFill="1" applyAlignment="1">
      <alignment horizontal="left" vertical="center" wrapText="1"/>
    </xf>
    <xf numFmtId="14" fontId="38" fillId="9" borderId="61" xfId="8" applyNumberFormat="1" applyFont="1" applyFill="1" applyBorder="1" applyAlignment="1">
      <alignment horizontal="left" vertical="center"/>
    </xf>
    <xf numFmtId="165" fontId="38" fillId="9" borderId="62" xfId="1" applyNumberFormat="1" applyFont="1" applyFill="1" applyBorder="1" applyAlignment="1">
      <alignment vertical="center"/>
    </xf>
    <xf numFmtId="0" fontId="17" fillId="9" borderId="0" xfId="0" applyFont="1" applyFill="1" applyAlignment="1">
      <alignment horizontal="center" vertical="center"/>
    </xf>
    <xf numFmtId="14" fontId="55" fillId="9" borderId="0" xfId="0" applyNumberFormat="1" applyFont="1" applyFill="1" applyAlignment="1">
      <alignment vertical="center"/>
    </xf>
    <xf numFmtId="0" fontId="60" fillId="9" borderId="0" xfId="0" applyFont="1" applyFill="1" applyAlignment="1">
      <alignment horizontal="left" vertical="center"/>
    </xf>
    <xf numFmtId="0" fontId="54" fillId="9" borderId="0" xfId="0" applyFont="1" applyFill="1" applyAlignment="1">
      <alignment horizontal="left" vertical="center"/>
    </xf>
    <xf numFmtId="0" fontId="54" fillId="9" borderId="0" xfId="0" applyFont="1" applyFill="1" applyAlignment="1">
      <alignment vertical="center"/>
    </xf>
    <xf numFmtId="10" fontId="55" fillId="9" borderId="0" xfId="0" applyNumberFormat="1" applyFont="1" applyFill="1" applyAlignment="1">
      <alignment vertical="center"/>
    </xf>
    <xf numFmtId="0" fontId="6" fillId="26" borderId="0" xfId="0" applyFont="1" applyFill="1"/>
    <xf numFmtId="0" fontId="6" fillId="19" borderId="0" xfId="0" applyFont="1" applyFill="1"/>
    <xf numFmtId="0" fontId="6" fillId="9" borderId="77" xfId="0" applyFont="1" applyFill="1" applyBorder="1"/>
    <xf numFmtId="0" fontId="97" fillId="9" borderId="78" xfId="0" applyFont="1" applyFill="1" applyBorder="1"/>
    <xf numFmtId="0" fontId="98" fillId="9" borderId="78" xfId="0" applyFont="1" applyFill="1" applyBorder="1"/>
    <xf numFmtId="0" fontId="6" fillId="9" borderId="79" xfId="0" applyFont="1" applyFill="1" applyBorder="1"/>
    <xf numFmtId="0" fontId="6" fillId="9" borderId="80" xfId="0" applyFont="1" applyFill="1" applyBorder="1"/>
    <xf numFmtId="0" fontId="98" fillId="9" borderId="0" xfId="0" applyFont="1" applyFill="1"/>
    <xf numFmtId="0" fontId="6" fillId="9" borderId="81" xfId="0" applyFont="1" applyFill="1" applyBorder="1"/>
    <xf numFmtId="0" fontId="99" fillId="9" borderId="81" xfId="0" applyFont="1" applyFill="1" applyBorder="1"/>
    <xf numFmtId="0" fontId="100" fillId="9" borderId="0" xfId="0" applyFont="1" applyFill="1" applyAlignment="1">
      <alignment horizontal="left" vertical="top" wrapText="1"/>
    </xf>
    <xf numFmtId="0" fontId="99" fillId="9" borderId="0" xfId="0" applyFont="1" applyFill="1" applyAlignment="1">
      <alignment horizontal="left" vertical="top" wrapText="1"/>
    </xf>
    <xf numFmtId="0" fontId="99" fillId="9" borderId="86" xfId="0" applyFont="1" applyFill="1" applyBorder="1" applyAlignment="1">
      <alignment horizontal="left" vertical="top" wrapText="1"/>
    </xf>
    <xf numFmtId="0" fontId="3" fillId="0" borderId="0" xfId="0" applyFont="1"/>
    <xf numFmtId="0" fontId="99" fillId="9" borderId="81" xfId="0" applyFont="1" applyFill="1" applyBorder="1" applyAlignment="1">
      <alignment vertical="top" wrapText="1"/>
    </xf>
    <xf numFmtId="0" fontId="6" fillId="9" borderId="0" xfId="0" applyFont="1" applyFill="1"/>
    <xf numFmtId="0" fontId="104" fillId="9" borderId="0" xfId="0" applyFont="1" applyFill="1" applyAlignment="1">
      <alignment horizontal="left" vertical="center"/>
    </xf>
    <xf numFmtId="0" fontId="103" fillId="21" borderId="83" xfId="0" applyFont="1" applyFill="1" applyBorder="1" applyAlignment="1">
      <alignment horizontal="left" vertical="center" wrapText="1"/>
    </xf>
    <xf numFmtId="0" fontId="103" fillId="9" borderId="0" xfId="0" applyFont="1" applyFill="1" applyAlignment="1">
      <alignment horizontal="left" vertical="center"/>
    </xf>
    <xf numFmtId="0" fontId="105" fillId="9" borderId="0" xfId="0" applyFont="1" applyFill="1" applyAlignment="1">
      <alignment horizontal="left" vertical="top" wrapText="1"/>
    </xf>
    <xf numFmtId="0" fontId="105" fillId="9" borderId="0" xfId="0" applyFont="1" applyFill="1" applyAlignment="1">
      <alignment horizontal="right" vertical="top" wrapText="1" indent="1"/>
    </xf>
    <xf numFmtId="0" fontId="103" fillId="0" borderId="0" xfId="0" applyFont="1"/>
    <xf numFmtId="0" fontId="41" fillId="9" borderId="0" xfId="6" applyFill="1" applyAlignment="1">
      <alignment horizontal="left" vertical="top" wrapText="1"/>
    </xf>
    <xf numFmtId="0" fontId="106" fillId="9" borderId="0" xfId="13" applyFill="1"/>
    <xf numFmtId="0" fontId="99" fillId="9" borderId="0" xfId="0" applyFont="1" applyFill="1" applyAlignment="1">
      <alignment vertical="top" wrapText="1"/>
    </xf>
    <xf numFmtId="0" fontId="129" fillId="18" borderId="0" xfId="0" applyFont="1" applyFill="1" applyAlignment="1">
      <alignment vertical="top" wrapText="1"/>
    </xf>
    <xf numFmtId="0" fontId="99" fillId="18" borderId="0" xfId="0" applyFont="1" applyFill="1" applyAlignment="1">
      <alignment vertical="top" wrapText="1"/>
    </xf>
    <xf numFmtId="0" fontId="103" fillId="9" borderId="83" xfId="0" applyFont="1" applyFill="1" applyBorder="1" applyAlignment="1" applyProtection="1">
      <alignment horizontal="right" vertical="center" wrapText="1" indent="1"/>
      <protection locked="0"/>
    </xf>
    <xf numFmtId="14" fontId="103" fillId="9" borderId="83" xfId="0" applyNumberFormat="1" applyFont="1" applyFill="1" applyBorder="1" applyAlignment="1" applyProtection="1">
      <alignment horizontal="right" vertical="center" wrapText="1" indent="1"/>
      <protection locked="0"/>
    </xf>
    <xf numFmtId="167" fontId="103" fillId="9" borderId="83" xfId="0" applyNumberFormat="1" applyFont="1" applyFill="1" applyBorder="1" applyAlignment="1" applyProtection="1">
      <alignment horizontal="right" vertical="center" wrapText="1" indent="1"/>
      <protection locked="0"/>
    </xf>
    <xf numFmtId="0" fontId="103" fillId="9" borderId="84" xfId="0" applyFont="1" applyFill="1" applyBorder="1" applyAlignment="1" applyProtection="1">
      <alignment horizontal="right" vertical="center" wrapText="1" indent="1"/>
      <protection locked="0"/>
    </xf>
    <xf numFmtId="14" fontId="6" fillId="0" borderId="0" xfId="0" applyNumberFormat="1" applyFont="1"/>
    <xf numFmtId="0" fontId="68" fillId="27" borderId="0" xfId="3" applyFont="1" applyFill="1" applyBorder="1" applyAlignment="1" applyProtection="1">
      <alignment vertical="center" wrapText="1"/>
      <protection hidden="1"/>
    </xf>
    <xf numFmtId="0" fontId="0" fillId="21" borderId="0" xfId="0" applyFill="1" applyAlignment="1" applyProtection="1">
      <alignment horizontal="left" indent="3"/>
      <protection hidden="1"/>
    </xf>
    <xf numFmtId="0" fontId="0" fillId="18" borderId="0" xfId="0" applyFill="1" applyProtection="1">
      <protection hidden="1"/>
    </xf>
    <xf numFmtId="0" fontId="135" fillId="21" borderId="0" xfId="0" applyFont="1" applyFill="1" applyAlignment="1">
      <alignment vertical="top" wrapText="1"/>
    </xf>
    <xf numFmtId="0" fontId="137" fillId="21" borderId="0" xfId="6" applyFont="1" applyFill="1" applyAlignment="1">
      <alignment horizontal="left" indent="3"/>
    </xf>
    <xf numFmtId="0" fontId="137" fillId="21" borderId="0" xfId="6" applyFont="1" applyFill="1" applyAlignment="1">
      <alignment horizontal="center" vertical="top" wrapText="1"/>
    </xf>
    <xf numFmtId="0" fontId="135" fillId="21" borderId="0" xfId="0" applyFont="1" applyFill="1" applyAlignment="1">
      <alignment horizontal="center" vertical="top" wrapText="1"/>
    </xf>
    <xf numFmtId="0" fontId="6" fillId="21" borderId="0" xfId="0" applyFont="1" applyFill="1" applyAlignment="1">
      <alignment horizontal="left" indent="3"/>
    </xf>
    <xf numFmtId="0" fontId="6" fillId="21" borderId="0" xfId="0" applyFont="1" applyFill="1"/>
    <xf numFmtId="0" fontId="129" fillId="21" borderId="0" xfId="0" applyFont="1" applyFill="1" applyAlignment="1">
      <alignment vertical="top" wrapText="1"/>
    </xf>
    <xf numFmtId="0" fontId="41" fillId="21" borderId="0" xfId="6" applyFill="1" applyAlignment="1">
      <alignment horizontal="left" indent="3"/>
    </xf>
    <xf numFmtId="0" fontId="41" fillId="21" borderId="0" xfId="6" applyFill="1"/>
    <xf numFmtId="0" fontId="0" fillId="21" borderId="0" xfId="0" applyFill="1" applyAlignment="1" applyProtection="1">
      <alignment horizontal="left"/>
      <protection hidden="1"/>
    </xf>
    <xf numFmtId="0" fontId="136" fillId="21" borderId="0" xfId="0" applyFont="1" applyFill="1"/>
    <xf numFmtId="0" fontId="41" fillId="21" borderId="0" xfId="6" applyFill="1" applyAlignment="1">
      <alignment vertical="center"/>
    </xf>
    <xf numFmtId="0" fontId="99" fillId="9" borderId="0" xfId="0" applyFont="1" applyFill="1" applyAlignment="1">
      <alignment vertical="center" wrapText="1"/>
    </xf>
    <xf numFmtId="0" fontId="134" fillId="9" borderId="0" xfId="6" applyFont="1" applyFill="1" applyAlignment="1">
      <alignment vertical="center"/>
    </xf>
    <xf numFmtId="0" fontId="41" fillId="9" borderId="0" xfId="6" applyFill="1" applyAlignment="1">
      <alignment vertical="center"/>
    </xf>
    <xf numFmtId="0" fontId="69" fillId="0" borderId="0" xfId="0" applyFont="1" applyAlignment="1">
      <alignment horizontal="left" indent="4"/>
    </xf>
    <xf numFmtId="0" fontId="139" fillId="0" borderId="0" xfId="0" applyFont="1"/>
    <xf numFmtId="0" fontId="81" fillId="0" borderId="22" xfId="0" applyFont="1" applyBorder="1" applyAlignment="1">
      <alignment horizontal="center"/>
    </xf>
    <xf numFmtId="0" fontId="1" fillId="0" borderId="0" xfId="0" applyFont="1" applyAlignment="1">
      <alignment horizontal="left" indent="1"/>
    </xf>
    <xf numFmtId="0" fontId="81" fillId="0" borderId="0" xfId="0" applyFont="1" applyAlignment="1">
      <alignment horizontal="left" indent="1"/>
    </xf>
    <xf numFmtId="0" fontId="140" fillId="21" borderId="83" xfId="0" applyFont="1" applyFill="1" applyBorder="1" applyAlignment="1" applyProtection="1">
      <alignment horizontal="center" vertical="center" wrapText="1"/>
      <protection hidden="1"/>
    </xf>
    <xf numFmtId="0" fontId="1" fillId="3" borderId="61" xfId="0" applyFont="1" applyFill="1" applyBorder="1"/>
    <xf numFmtId="14" fontId="61" fillId="9" borderId="61" xfId="8" applyNumberFormat="1" applyFont="1" applyFill="1" applyBorder="1" applyAlignment="1">
      <alignment horizontal="left" wrapText="1" indent="1"/>
    </xf>
    <xf numFmtId="0" fontId="54" fillId="9" borderId="0" xfId="9" applyFill="1" applyBorder="1">
      <alignment horizontal="left" vertical="center"/>
    </xf>
    <xf numFmtId="0" fontId="60" fillId="9" borderId="87" xfId="0" applyFont="1" applyFill="1" applyBorder="1" applyAlignment="1">
      <alignment horizontal="left" vertical="center"/>
    </xf>
    <xf numFmtId="0" fontId="54" fillId="9" borderId="87" xfId="0" applyFont="1" applyFill="1" applyBorder="1" applyAlignment="1">
      <alignment horizontal="left" vertical="center"/>
    </xf>
    <xf numFmtId="0" fontId="54" fillId="9" borderId="87" xfId="0" applyFont="1" applyFill="1" applyBorder="1" applyAlignment="1">
      <alignment vertical="center"/>
    </xf>
    <xf numFmtId="0" fontId="0" fillId="9" borderId="87" xfId="0" applyFill="1" applyBorder="1" applyAlignment="1">
      <alignment vertical="center"/>
    </xf>
    <xf numFmtId="0" fontId="52" fillId="9" borderId="87" xfId="7" applyFill="1" applyBorder="1" applyAlignment="1">
      <alignment vertical="center"/>
    </xf>
    <xf numFmtId="2" fontId="5" fillId="2" borderId="0" xfId="0" applyNumberFormat="1" applyFont="1" applyFill="1" applyAlignment="1">
      <alignment vertical="center"/>
    </xf>
    <xf numFmtId="0" fontId="5" fillId="2" borderId="0" xfId="0" applyFont="1" applyFill="1" applyAlignment="1">
      <alignment vertical="center"/>
    </xf>
    <xf numFmtId="167" fontId="0" fillId="9" borderId="3" xfId="0" applyNumberFormat="1" applyFill="1" applyBorder="1" applyProtection="1">
      <protection locked="0"/>
    </xf>
    <xf numFmtId="0" fontId="0" fillId="9" borderId="4" xfId="0" applyFill="1" applyBorder="1"/>
    <xf numFmtId="0" fontId="0" fillId="9" borderId="6" xfId="0" applyFill="1" applyBorder="1"/>
    <xf numFmtId="0" fontId="124" fillId="9" borderId="7" xfId="0" applyFont="1" applyFill="1" applyBorder="1"/>
    <xf numFmtId="0" fontId="114" fillId="9" borderId="0" xfId="0" applyFont="1" applyFill="1"/>
    <xf numFmtId="0" fontId="114" fillId="9" borderId="8" xfId="0" applyFont="1" applyFill="1" applyBorder="1"/>
    <xf numFmtId="0" fontId="0" fillId="9" borderId="9" xfId="0" applyFill="1" applyBorder="1"/>
    <xf numFmtId="0" fontId="0" fillId="9" borderId="10" xfId="0" applyFill="1" applyBorder="1"/>
    <xf numFmtId="0" fontId="0" fillId="9" borderId="11" xfId="0" applyFill="1" applyBorder="1"/>
    <xf numFmtId="2" fontId="0" fillId="6" borderId="88" xfId="0" applyNumberFormat="1" applyFill="1" applyBorder="1" applyAlignment="1">
      <alignment vertical="center"/>
    </xf>
    <xf numFmtId="2" fontId="0" fillId="6" borderId="89" xfId="0" applyNumberFormat="1" applyFill="1" applyBorder="1" applyAlignment="1">
      <alignment vertical="center"/>
    </xf>
    <xf numFmtId="2" fontId="48" fillId="6" borderId="89" xfId="0" applyNumberFormat="1" applyFont="1" applyFill="1" applyBorder="1" applyAlignment="1">
      <alignment vertical="center"/>
    </xf>
    <xf numFmtId="2" fontId="0" fillId="6" borderId="90" xfId="0" applyNumberFormat="1" applyFill="1" applyBorder="1" applyAlignment="1">
      <alignment vertical="center"/>
    </xf>
    <xf numFmtId="2" fontId="0" fillId="9" borderId="89" xfId="0" applyNumberFormat="1" applyFill="1" applyBorder="1" applyAlignment="1">
      <alignment vertical="center"/>
    </xf>
    <xf numFmtId="2" fontId="3" fillId="9" borderId="91" xfId="0" applyNumberFormat="1" applyFont="1" applyFill="1" applyBorder="1" applyAlignment="1">
      <alignment vertical="center"/>
    </xf>
    <xf numFmtId="21" fontId="1" fillId="3" borderId="61" xfId="0" applyNumberFormat="1" applyFont="1" applyFill="1" applyBorder="1"/>
    <xf numFmtId="0" fontId="69" fillId="0" borderId="0" xfId="0" applyFont="1" applyAlignment="1">
      <alignment horizontal="center"/>
    </xf>
    <xf numFmtId="169" fontId="2" fillId="0" borderId="0" xfId="11" applyNumberFormat="1"/>
    <xf numFmtId="169" fontId="2" fillId="0" borderId="0" xfId="11" applyNumberFormat="1" applyAlignment="1">
      <alignment horizontal="center"/>
    </xf>
    <xf numFmtId="0" fontId="0" fillId="21" borderId="0" xfId="0" applyFill="1" applyAlignment="1">
      <alignment horizontal="left" vertical="center" indent="3"/>
    </xf>
    <xf numFmtId="0" fontId="0" fillId="21" borderId="0" xfId="0" applyFill="1" applyAlignment="1" applyProtection="1">
      <alignment vertical="top"/>
      <protection hidden="1"/>
    </xf>
    <xf numFmtId="0" fontId="0" fillId="21" borderId="0" xfId="0" applyFill="1" applyAlignment="1">
      <alignment horizontal="left" vertical="top"/>
    </xf>
    <xf numFmtId="0" fontId="101" fillId="9" borderId="0" xfId="0" quotePrefix="1" applyFont="1" applyFill="1" applyAlignment="1">
      <alignment horizontal="left" vertical="top" wrapText="1"/>
    </xf>
    <xf numFmtId="0" fontId="100" fillId="9" borderId="0" xfId="0" applyFont="1" applyFill="1" applyAlignment="1">
      <alignment horizontal="left" vertical="top" wrapText="1"/>
    </xf>
    <xf numFmtId="0" fontId="41" fillId="21" borderId="0" xfId="6" applyFill="1" applyAlignment="1" applyProtection="1">
      <alignment horizontal="left" indent="3"/>
      <protection hidden="1"/>
    </xf>
    <xf numFmtId="0" fontId="147" fillId="18" borderId="0" xfId="0" applyFont="1" applyFill="1" applyAlignment="1">
      <alignment horizontal="center"/>
    </xf>
    <xf numFmtId="0" fontId="37" fillId="18" borderId="0" xfId="0" applyFont="1" applyFill="1" applyAlignment="1">
      <alignment horizontal="right"/>
    </xf>
    <xf numFmtId="0" fontId="129" fillId="18" borderId="0" xfId="0" applyFont="1" applyFill="1" applyAlignment="1">
      <alignment horizontal="left" vertical="center" wrapText="1"/>
    </xf>
    <xf numFmtId="0" fontId="135" fillId="21" borderId="0" xfId="0" applyFont="1" applyFill="1" applyAlignment="1">
      <alignment horizontal="left" vertical="top" wrapText="1"/>
    </xf>
    <xf numFmtId="0" fontId="41" fillId="0" borderId="0" xfId="6" applyAlignment="1">
      <alignment vertical="center" wrapText="1"/>
    </xf>
    <xf numFmtId="0" fontId="99" fillId="9" borderId="0" xfId="0" applyFont="1" applyFill="1" applyAlignment="1">
      <alignment horizontal="left" vertical="top" wrapText="1"/>
    </xf>
    <xf numFmtId="0" fontId="103" fillId="21" borderId="84" xfId="0" applyFont="1" applyFill="1" applyBorder="1" applyAlignment="1">
      <alignment horizontal="left" vertical="center" wrapText="1"/>
    </xf>
    <xf numFmtId="0" fontId="103" fillId="21" borderId="85" xfId="0" applyFont="1" applyFill="1" applyBorder="1" applyAlignment="1">
      <alignment horizontal="left" vertical="center" wrapText="1"/>
    </xf>
    <xf numFmtId="0" fontId="56" fillId="9" borderId="62" xfId="0" applyFont="1" applyFill="1" applyBorder="1" applyAlignment="1">
      <alignment horizontal="center" vertical="center"/>
    </xf>
    <xf numFmtId="0" fontId="56" fillId="9" borderId="63" xfId="0" applyFont="1" applyFill="1" applyBorder="1" applyAlignment="1">
      <alignment horizontal="center" vertical="center"/>
    </xf>
    <xf numFmtId="167" fontId="59" fillId="9" borderId="62" xfId="1" applyNumberFormat="1" applyFont="1" applyFill="1" applyBorder="1" applyAlignment="1">
      <alignment horizontal="center" vertical="center"/>
    </xf>
    <xf numFmtId="167" fontId="59" fillId="9" borderId="63" xfId="1" applyNumberFormat="1" applyFont="1" applyFill="1" applyBorder="1" applyAlignment="1">
      <alignment horizontal="center" vertical="center"/>
    </xf>
    <xf numFmtId="170" fontId="64" fillId="9" borderId="62" xfId="1" applyNumberFormat="1" applyFont="1" applyFill="1" applyBorder="1" applyAlignment="1">
      <alignment horizontal="center" vertical="center"/>
    </xf>
    <xf numFmtId="170" fontId="64" fillId="9" borderId="63" xfId="1" applyNumberFormat="1" applyFont="1" applyFill="1" applyBorder="1" applyAlignment="1">
      <alignment horizontal="center" vertical="center"/>
    </xf>
    <xf numFmtId="0" fontId="60" fillId="9" borderId="0" xfId="0" applyFont="1" applyFill="1" applyAlignment="1">
      <alignment horizontal="left" vertical="center" wrapText="1"/>
    </xf>
    <xf numFmtId="166" fontId="144" fillId="9" borderId="64" xfId="1" applyNumberFormat="1" applyFont="1" applyFill="1" applyBorder="1" applyAlignment="1">
      <alignment horizontal="center" vertical="center"/>
    </xf>
    <xf numFmtId="166" fontId="144" fillId="9" borderId="63" xfId="1" applyNumberFormat="1" applyFont="1" applyFill="1" applyBorder="1" applyAlignment="1">
      <alignment horizontal="center" vertical="center"/>
    </xf>
    <xf numFmtId="171" fontId="59" fillId="9" borderId="64" xfId="1" applyNumberFormat="1" applyFont="1" applyFill="1" applyBorder="1" applyAlignment="1">
      <alignment horizontal="center" vertical="center"/>
    </xf>
    <xf numFmtId="0" fontId="37" fillId="14" borderId="38" xfId="0" applyFont="1" applyFill="1" applyBorder="1" applyAlignment="1">
      <alignment horizontal="center" vertical="center" wrapText="1"/>
    </xf>
    <xf numFmtId="0" fontId="37" fillId="14" borderId="39" xfId="0" applyFont="1" applyFill="1" applyBorder="1" applyAlignment="1">
      <alignment horizontal="center" vertical="center" wrapText="1"/>
    </xf>
    <xf numFmtId="0" fontId="37" fillId="14" borderId="22" xfId="0" applyFont="1" applyFill="1" applyBorder="1" applyAlignment="1">
      <alignment horizontal="center" vertical="center" wrapText="1"/>
    </xf>
    <xf numFmtId="0" fontId="37" fillId="14" borderId="40" xfId="0" applyFont="1" applyFill="1" applyBorder="1" applyAlignment="1">
      <alignment horizontal="center" vertical="center" wrapText="1"/>
    </xf>
    <xf numFmtId="0" fontId="0" fillId="9" borderId="28" xfId="0" applyFill="1" applyBorder="1" applyAlignment="1">
      <alignment horizontal="center" vertical="center"/>
    </xf>
    <xf numFmtId="0" fontId="0" fillId="9" borderId="29" xfId="0" applyFill="1" applyBorder="1" applyAlignment="1">
      <alignment horizontal="center" vertical="center"/>
    </xf>
    <xf numFmtId="0" fontId="3" fillId="9" borderId="35" xfId="0" applyFont="1" applyFill="1" applyBorder="1" applyAlignment="1">
      <alignment horizontal="center" vertical="center" textRotation="255" wrapText="1"/>
    </xf>
    <xf numFmtId="0" fontId="3" fillId="9" borderId="50" xfId="0" applyFont="1" applyFill="1" applyBorder="1" applyAlignment="1">
      <alignment horizontal="center" vertical="center" textRotation="255" wrapText="1"/>
    </xf>
    <xf numFmtId="0" fontId="3" fillId="9" borderId="51" xfId="0" applyFont="1" applyFill="1" applyBorder="1" applyAlignment="1">
      <alignment horizontal="center" vertical="center" textRotation="255" wrapText="1"/>
    </xf>
    <xf numFmtId="0" fontId="5" fillId="9" borderId="35" xfId="0" applyFont="1" applyFill="1" applyBorder="1" applyAlignment="1">
      <alignment horizontal="center" vertical="center" textRotation="255"/>
    </xf>
    <xf numFmtId="0" fontId="5" fillId="9" borderId="50" xfId="0" applyFont="1" applyFill="1" applyBorder="1" applyAlignment="1">
      <alignment horizontal="center" vertical="center" textRotation="255"/>
    </xf>
    <xf numFmtId="0" fontId="5" fillId="9" borderId="51" xfId="0" applyFont="1" applyFill="1" applyBorder="1" applyAlignment="1">
      <alignment horizontal="center" vertical="center" textRotation="255"/>
    </xf>
    <xf numFmtId="0" fontId="37" fillId="14" borderId="4" xfId="0" applyFont="1" applyFill="1" applyBorder="1" applyAlignment="1">
      <alignment horizontal="center" vertical="center"/>
    </xf>
    <xf numFmtId="0" fontId="37" fillId="14" borderId="37" xfId="0" applyFont="1" applyFill="1" applyBorder="1" applyAlignment="1">
      <alignment horizontal="center" vertical="center"/>
    </xf>
    <xf numFmtId="0" fontId="37" fillId="14" borderId="7" xfId="0" applyFont="1" applyFill="1" applyBorder="1" applyAlignment="1">
      <alignment horizontal="center" vertical="center"/>
    </xf>
    <xf numFmtId="0" fontId="37" fillId="14" borderId="31" xfId="0" applyFont="1" applyFill="1" applyBorder="1" applyAlignment="1">
      <alignment horizontal="center" vertical="center"/>
    </xf>
    <xf numFmtId="0" fontId="37" fillId="14" borderId="36" xfId="0" applyFont="1" applyFill="1" applyBorder="1" applyAlignment="1">
      <alignment horizontal="center" vertical="center"/>
    </xf>
    <xf numFmtId="0" fontId="37" fillId="14" borderId="34" xfId="0" applyFont="1" applyFill="1" applyBorder="1" applyAlignment="1">
      <alignment horizontal="center" vertical="center"/>
    </xf>
    <xf numFmtId="0" fontId="37" fillId="14" borderId="32" xfId="0" applyFont="1" applyFill="1" applyBorder="1" applyAlignment="1">
      <alignment horizontal="center" vertical="center"/>
    </xf>
    <xf numFmtId="0" fontId="0" fillId="9" borderId="26" xfId="0" applyFill="1" applyBorder="1" applyAlignment="1">
      <alignment horizontal="center" vertical="center"/>
    </xf>
    <xf numFmtId="0" fontId="12" fillId="7" borderId="5" xfId="5" applyFont="1" applyFill="1" applyBorder="1" applyAlignment="1">
      <alignment horizontal="left"/>
    </xf>
    <xf numFmtId="0" fontId="12" fillId="7" borderId="0" xfId="5" applyFont="1" applyFill="1" applyAlignment="1">
      <alignment horizontal="left"/>
    </xf>
    <xf numFmtId="0" fontId="12" fillId="7" borderId="4" xfId="0" applyFont="1" applyFill="1" applyBorder="1" applyAlignment="1">
      <alignment horizontal="center"/>
    </xf>
    <xf numFmtId="0" fontId="12" fillId="7" borderId="7" xfId="0" applyFont="1" applyFill="1" applyBorder="1" applyAlignment="1">
      <alignment horizontal="center"/>
    </xf>
    <xf numFmtId="0" fontId="109" fillId="16" borderId="0" xfId="0" applyFont="1" applyFill="1" applyAlignment="1">
      <alignment horizontal="center"/>
    </xf>
    <xf numFmtId="0" fontId="110" fillId="13" borderId="5" xfId="5" applyFont="1" applyFill="1" applyBorder="1" applyAlignment="1">
      <alignment horizontal="left" wrapText="1"/>
    </xf>
    <xf numFmtId="0" fontId="110" fillId="13" borderId="6" xfId="5" applyFont="1" applyFill="1" applyBorder="1" applyAlignment="1">
      <alignment horizontal="left" wrapText="1"/>
    </xf>
    <xf numFmtId="0" fontId="0" fillId="14" borderId="27" xfId="0" applyFill="1" applyBorder="1" applyAlignment="1">
      <alignment horizontal="center"/>
    </xf>
    <xf numFmtId="0" fontId="0" fillId="14" borderId="21" xfId="0" applyFill="1" applyBorder="1" applyAlignment="1">
      <alignment horizontal="center"/>
    </xf>
    <xf numFmtId="0" fontId="0" fillId="14" borderId="54" xfId="0" applyFill="1" applyBorder="1" applyAlignment="1">
      <alignment horizontal="center"/>
    </xf>
    <xf numFmtId="0" fontId="0" fillId="14" borderId="56" xfId="0" applyFill="1" applyBorder="1" applyAlignment="1">
      <alignment horizontal="center"/>
    </xf>
    <xf numFmtId="0" fontId="0" fillId="14" borderId="10" xfId="0" applyFill="1" applyBorder="1" applyAlignment="1">
      <alignment horizontal="center"/>
    </xf>
    <xf numFmtId="0" fontId="0" fillId="14" borderId="11" xfId="0" applyFill="1" applyBorder="1" applyAlignment="1">
      <alignment horizontal="center"/>
    </xf>
    <xf numFmtId="0" fontId="83" fillId="9" borderId="22" xfId="0" applyFont="1" applyFill="1" applyBorder="1" applyAlignment="1">
      <alignment horizontal="center" vertical="center" textRotation="45"/>
    </xf>
    <xf numFmtId="0" fontId="124" fillId="10" borderId="27" xfId="0" applyFont="1" applyFill="1" applyBorder="1" applyAlignment="1">
      <alignment horizontal="left" vertical="top" wrapText="1"/>
    </xf>
    <xf numFmtId="0" fontId="124" fillId="10" borderId="21" xfId="0" applyFont="1" applyFill="1" applyBorder="1" applyAlignment="1">
      <alignment horizontal="left" vertical="top" wrapText="1"/>
    </xf>
    <xf numFmtId="0" fontId="124" fillId="10" borderId="33" xfId="0" applyFont="1" applyFill="1" applyBorder="1" applyAlignment="1">
      <alignment horizontal="left" vertical="top" wrapText="1"/>
    </xf>
    <xf numFmtId="0" fontId="124" fillId="10" borderId="48" xfId="0" applyFont="1" applyFill="1" applyBorder="1" applyAlignment="1">
      <alignment horizontal="left" vertical="top" wrapText="1"/>
    </xf>
    <xf numFmtId="0" fontId="124" fillId="10" borderId="0" xfId="0" applyFont="1" applyFill="1" applyAlignment="1">
      <alignment horizontal="left" vertical="top" wrapText="1"/>
    </xf>
    <xf numFmtId="0" fontId="124" fillId="10" borderId="31" xfId="0" applyFont="1" applyFill="1" applyBorder="1" applyAlignment="1">
      <alignment horizontal="left" vertical="top" wrapText="1"/>
    </xf>
    <xf numFmtId="0" fontId="124" fillId="10" borderId="34" xfId="0" applyFont="1" applyFill="1" applyBorder="1" applyAlignment="1">
      <alignment horizontal="left" vertical="top" wrapText="1"/>
    </xf>
    <xf numFmtId="0" fontId="124" fillId="10" borderId="16" xfId="0" applyFont="1" applyFill="1" applyBorder="1" applyAlignment="1">
      <alignment horizontal="left" vertical="top" wrapText="1"/>
    </xf>
    <xf numFmtId="0" fontId="124" fillId="10" borderId="32" xfId="0" applyFont="1" applyFill="1" applyBorder="1" applyAlignment="1">
      <alignment horizontal="left" vertical="top" wrapText="1"/>
    </xf>
    <xf numFmtId="0" fontId="40" fillId="3" borderId="24" xfId="0" applyFont="1" applyFill="1" applyBorder="1" applyAlignment="1">
      <alignment horizontal="center" vertical="center"/>
    </xf>
  </cellXfs>
  <cellStyles count="14">
    <cellStyle name="Benyttet hyperkobling" xfId="13" builtinId="9"/>
    <cellStyle name="Data Labels" xfId="9" xr:uid="{00000000-0005-0000-0000-000001000000}"/>
    <cellStyle name="Hyperkobling" xfId="6" builtinId="8"/>
    <cellStyle name="Komma" xfId="1" builtinId="3"/>
    <cellStyle name="Normal" xfId="0" builtinId="0"/>
    <cellStyle name="Normal 2" xfId="11" xr:uid="{00000000-0005-0000-0000-000005000000}"/>
    <cellStyle name="Normal 2 2" xfId="12" xr:uid="{00000000-0005-0000-0000-000006000000}"/>
    <cellStyle name="Nøytral" xfId="10" builtinId="28"/>
    <cellStyle name="Overskrift 1" xfId="3" builtinId="16"/>
    <cellStyle name="Overskrift 2" xfId="4" builtinId="17"/>
    <cellStyle name="Overskrift 3" xfId="7" builtinId="18"/>
    <cellStyle name="Overskrift 4" xfId="8" builtinId="19"/>
    <cellStyle name="Tittel" xfId="2" builtinId="15"/>
    <cellStyle name="Uthevingsfarge1" xfId="5" builtinId="29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167" formatCode="0.0"/>
      <alignment textRotation="0" wrapText="1" indent="0" justifyLastLine="0" shrinkToFit="0" readingOrder="0"/>
    </dxf>
    <dxf>
      <numFmt numFmtId="167" formatCode="0.0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0" indent="0" justifyLastLine="0" shrinkToFit="0" readingOrder="0"/>
    </dxf>
    <dxf>
      <numFmt numFmtId="167" formatCode="0.0"/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alignment textRotation="0" wrapText="1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center" vertical="center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/>
        <name val="Cambria"/>
        <scheme val="none"/>
      </font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D7603"/>
      <color rgb="FF3333CC"/>
      <color rgb="FF993366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nb-NO" sz="1800" b="1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PRODUKTIVITET</a:t>
            </a:r>
          </a:p>
        </c:rich>
      </c:tx>
      <c:layout>
        <c:manualLayout>
          <c:xMode val="edge"/>
          <c:yMode val="edge"/>
          <c:x val="0.23021870557106869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389231053535756"/>
          <c:y val="0.11875935879893113"/>
          <c:w val="0.753080704032415"/>
          <c:h val="0.74396048005613968"/>
        </c:manualLayout>
      </c:layout>
      <c:pieChart>
        <c:varyColors val="1"/>
        <c:ser>
          <c:idx val="1"/>
          <c:order val="1"/>
          <c:tx>
            <c:strRef>
              <c:f>DASHBORD!$J$8</c:f>
              <c:strCache>
                <c:ptCount val="1"/>
                <c:pt idx="0">
                  <c:v>Måler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</c:spPr>
          <c:explosion val="50"/>
          <c:dPt>
            <c:idx val="0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8D5-45C2-9F35-07DB402459AD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9525">
                <a:noFill/>
              </a:ln>
              <a:effectLst>
                <a:outerShdw blurRad="317500" sx="88000" sy="880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8D5-45C2-9F35-07DB402459AD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8D5-45C2-9F35-07DB402459AD}"/>
              </c:ext>
            </c:extLst>
          </c:dPt>
          <c:dLbls>
            <c:dLbl>
              <c:idx val="0"/>
              <c:layout>
                <c:manualLayout>
                  <c:x val="0.40117846451892181"/>
                  <c:y val="0.30546694592127166"/>
                </c:manualLayout>
              </c:layout>
              <c:numFmt formatCode="#,##0.0" sourceLinked="0"/>
              <c:spPr>
                <a:ln>
                  <a:noFill/>
                </a:ln>
              </c:spPr>
              <c:txPr>
                <a:bodyPr rot="0" vertOverflow="clip" horzOverflow="clip" vert="horz" wrap="none">
                  <a:spAutoFit/>
                </a:bodyPr>
                <a:lstStyle/>
                <a:p>
                  <a:pPr>
                    <a:defRPr sz="3000" b="1" baseline="0">
                      <a:ln>
                        <a:noFill/>
                      </a:ln>
                      <a:solidFill>
                        <a:schemeClr val="tx2">
                          <a:lumMod val="75000"/>
                        </a:schemeClr>
                      </a:solidFill>
                    </a:defRPr>
                  </a:pPr>
                  <a:endParaRPr lang="nb-N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1-68D5-45C2-9F35-07DB402459AD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68D5-45C2-9F35-07DB402459AD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68D5-45C2-9F35-07DB402459AD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vertOverflow="clip" horzOverflow="clip" vert="horz" wrap="none">
                <a:spAutoFit/>
              </a:bodyPr>
              <a:lstStyle/>
              <a:p>
                <a:pPr>
                  <a:defRPr sz="3000" b="1" baseline="0">
                    <a:ln>
                      <a:noFill/>
                    </a:ln>
                    <a:solidFill>
                      <a:schemeClr val="tx2">
                        <a:lumMod val="75000"/>
                      </a:schemeClr>
                    </a:solidFill>
                  </a:defRPr>
                </a:pPr>
                <a:endParaRPr lang="nb-NO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DASHBORD!$K$9:$K$11</c:f>
              <c:numCache>
                <c:formatCode>General</c:formatCode>
                <c:ptCount val="3"/>
                <c:pt idx="0" formatCode="0.0">
                  <c:v>15.016562764013511</c:v>
                </c:pt>
                <c:pt idx="1">
                  <c:v>1</c:v>
                </c:pt>
                <c:pt idx="2">
                  <c:v>83.983437235986486</c:v>
                </c:pt>
              </c:numCache>
            </c:numRef>
          </c:cat>
          <c:val>
            <c:numRef>
              <c:f>DASHBORD!$K$9:$K$11</c:f>
              <c:numCache>
                <c:formatCode>General</c:formatCode>
                <c:ptCount val="3"/>
                <c:pt idx="0" formatCode="0.0">
                  <c:v>15.016562764013511</c:v>
                </c:pt>
                <c:pt idx="1">
                  <c:v>1</c:v>
                </c:pt>
                <c:pt idx="2">
                  <c:v>83.983437235986486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8D5-45C2-9F35-07DB40245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doughnutChart>
        <c:varyColors val="1"/>
        <c:ser>
          <c:idx val="0"/>
          <c:order val="0"/>
          <c:tx>
            <c:strRef>
              <c:f>DASHBORD!$H$8</c:f>
              <c:strCache>
                <c:ptCount val="1"/>
                <c:pt idx="0">
                  <c:v>Prestasjon</c:v>
                </c:pt>
              </c:strCache>
            </c:strRef>
          </c:tx>
          <c:spPr>
            <a:solidFill>
              <a:schemeClr val="tx1">
                <a:alpha val="51000"/>
              </a:schemeClr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chemeClr val="tx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68D5-45C2-9F35-07DB402459AD}"/>
              </c:ext>
            </c:extLst>
          </c:dPt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  <a:ln w="9525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A-68D5-45C2-9F35-07DB402459AD}"/>
              </c:ext>
            </c:extLst>
          </c:dPt>
          <c:dPt>
            <c:idx val="2"/>
            <c:bubble3D val="0"/>
            <c:spPr>
              <a:solidFill>
                <a:srgbClr val="FFFF00">
                  <a:alpha val="51000"/>
                </a:srgbClr>
              </a:solidFill>
              <a:ln w="9525">
                <a:noFill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C-68D5-45C2-9F35-07DB402459AD}"/>
              </c:ext>
            </c:extLst>
          </c:dPt>
          <c:dPt>
            <c:idx val="3"/>
            <c:bubble3D val="0"/>
            <c:spPr>
              <a:solidFill>
                <a:srgbClr val="00B050">
                  <a:alpha val="51000"/>
                </a:srgbClr>
              </a:solidFill>
              <a:ln w="9525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E-68D5-45C2-9F35-07DB402459AD}"/>
              </c:ext>
            </c:extLst>
          </c:dPt>
          <c:dPt>
            <c:idx val="4"/>
            <c:bubble3D val="0"/>
            <c:spPr>
              <a:solidFill>
                <a:schemeClr val="bg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68D5-45C2-9F35-07DB402459AD}"/>
              </c:ext>
            </c:extLst>
          </c:dPt>
          <c:dLbls>
            <c:dLbl>
              <c:idx val="0"/>
              <c:layout>
                <c:manualLayout>
                  <c:x val="-0.10644223879664108"/>
                  <c:y val="-4.77192988734211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804373528064247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68D5-45C2-9F35-07DB402459AD}"/>
                </c:ext>
              </c:extLst>
            </c:dLbl>
            <c:dLbl>
              <c:idx val="1"/>
              <c:layout>
                <c:manualLayout>
                  <c:x val="2.2934564593861399E-2"/>
                  <c:y val="-0.19266801707738224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471246321784027E-2"/>
                      <c:h val="6.4298813914325334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68D5-45C2-9F35-07DB402459AD}"/>
                </c:ext>
              </c:extLst>
            </c:dLbl>
            <c:dLbl>
              <c:idx val="2"/>
              <c:layout>
                <c:manualLayout>
                  <c:x val="0.17370436387610361"/>
                  <c:y val="-9.70512820512820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227354509551315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68D5-45C2-9F35-07DB402459AD}"/>
                </c:ext>
              </c:extLst>
            </c:dLbl>
            <c:dLbl>
              <c:idx val="3"/>
              <c:layout>
                <c:manualLayout>
                  <c:x val="0.18209125002585713"/>
                  <c:y val="0.161677569150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455135831498583E-2"/>
                      <c:h val="6.399505080431171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68D5-45C2-9F35-07DB402459AD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8D5-45C2-9F35-07DB402459A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cat>
          <c:val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8D5-45C2-9F35-07DB402459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b-NO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800" b="1" i="0" u="none" strike="noStrike" kern="1200" baseline="0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r>
              <a:rPr lang="nb-NO" sz="1800" b="1">
                <a:solidFill>
                  <a:schemeClr val="tx2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rPr>
              <a:t>PRODUKTIVITET</a:t>
            </a:r>
          </a:p>
        </c:rich>
      </c:tx>
      <c:layout>
        <c:manualLayout>
          <c:xMode val="edge"/>
          <c:yMode val="edge"/>
          <c:x val="0.24907588014403761"/>
          <c:y val="3.136871819615417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800" b="1" i="0" u="none" strike="noStrike" kern="1200" baseline="0">
              <a:solidFill>
                <a:schemeClr val="tx2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nb-NO"/>
        </a:p>
      </c:txPr>
    </c:title>
    <c:autoTitleDeleted val="0"/>
    <c:plotArea>
      <c:layout>
        <c:manualLayout>
          <c:layoutTarget val="inner"/>
          <c:xMode val="edge"/>
          <c:yMode val="edge"/>
          <c:x val="0.1580107754919215"/>
          <c:y val="0.11875935879893113"/>
          <c:w val="0.68726833125628084"/>
          <c:h val="0.80593653466956261"/>
        </c:manualLayout>
      </c:layout>
      <c:pieChart>
        <c:varyColors val="1"/>
        <c:ser>
          <c:idx val="1"/>
          <c:order val="1"/>
          <c:tx>
            <c:strRef>
              <c:f>DASHBORD!$W$8</c:f>
              <c:strCache>
                <c:ptCount val="1"/>
                <c:pt idx="0">
                  <c:v>Måler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noFill/>
            </a:ln>
          </c:spPr>
          <c:explosion val="50"/>
          <c:dPt>
            <c:idx val="0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42D-47D9-9E4D-58009F1EBAB6}"/>
              </c:ext>
            </c:extLst>
          </c:dPt>
          <c:dPt>
            <c:idx val="1"/>
            <c:bubble3D val="0"/>
            <c:spPr>
              <a:solidFill>
                <a:schemeClr val="tx1"/>
              </a:solidFill>
              <a:ln w="9525">
                <a:noFill/>
              </a:ln>
              <a:effectLst>
                <a:outerShdw blurRad="317500" sx="88000" sy="88000" algn="ctr" rotWithShape="0">
                  <a:prstClr val="black">
                    <a:alpha val="25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542D-47D9-9E4D-58009F1EBAB6}"/>
              </c:ext>
            </c:extLst>
          </c:dPt>
          <c:dPt>
            <c:idx val="2"/>
            <c:bubble3D val="0"/>
            <c:spPr>
              <a:solidFill>
                <a:schemeClr val="bg1"/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42D-47D9-9E4D-58009F1EBAB6}"/>
              </c:ext>
            </c:extLst>
          </c:dPt>
          <c:dLbls>
            <c:dLbl>
              <c:idx val="0"/>
              <c:layout>
                <c:manualLayout>
                  <c:x val="0.26679766411462136"/>
                  <c:y val="0.31590349986518196"/>
                </c:manualLayout>
              </c:layout>
              <c:numFmt formatCode="#,##0.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none" lIns="38100" tIns="19050" rIns="38100" bIns="19050" anchor="ctr" anchorCtr="1">
                  <a:noAutofit/>
                </a:bodyPr>
                <a:lstStyle/>
                <a:p>
                  <a:pPr>
                    <a:defRPr sz="3200" b="1" i="0" u="none" strike="noStrike" kern="1200" baseline="0">
                      <a:solidFill>
                        <a:schemeClr val="tx2">
                          <a:lumMod val="7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nb-NO"/>
                </a:p>
              </c:txPr>
              <c:dLblPos val="bestFit"/>
              <c:showLegendKey val="0"/>
              <c:showVal val="1"/>
              <c:showCatName val="0"/>
              <c:showSerName val="0"/>
              <c:showPercent val="0"/>
              <c:showBubbleSize val="0"/>
              <c:separator> </c:separator>
              <c:extLst>
                <c:ext xmlns:c15="http://schemas.microsoft.com/office/drawing/2012/chart" uri="{CE6537A1-D6FC-4f65-9D91-7224C49458BB}">
                  <c15:layout>
                    <c:manualLayout>
                      <c:w val="0.44866788464607543"/>
                      <c:h val="0.18203346983969323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542D-47D9-9E4D-58009F1EBAB6}"/>
                </c:ext>
              </c:extLst>
            </c:dLbl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542D-47D9-9E4D-58009F1EBAB6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542D-47D9-9E4D-58009F1EBAB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none" lIns="38100" tIns="19050" rIns="38100" bIns="19050" anchor="ctr" anchorCtr="1">
                <a:spAutoFit/>
              </a:bodyPr>
              <a:lstStyle/>
              <a:p>
                <a:pPr>
                  <a:defRPr sz="3000" b="1" i="0" u="none" strike="noStrike" kern="1200" baseline="0">
                    <a:solidFill>
                      <a:schemeClr val="tx2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numRef>
              <c:f>DASHBORD!$X$9:$X$11</c:f>
              <c:numCache>
                <c:formatCode>General</c:formatCode>
                <c:ptCount val="3"/>
                <c:pt idx="0" formatCode="0.0">
                  <c:v>14.121825183231605</c:v>
                </c:pt>
                <c:pt idx="1">
                  <c:v>1</c:v>
                </c:pt>
                <c:pt idx="2">
                  <c:v>84.878174816768393</c:v>
                </c:pt>
              </c:numCache>
            </c:numRef>
          </c:cat>
          <c:val>
            <c:numRef>
              <c:f>DASHBORD!$X$9:$X$11</c:f>
              <c:numCache>
                <c:formatCode>General</c:formatCode>
                <c:ptCount val="3"/>
                <c:pt idx="0" formatCode="0.0">
                  <c:v>14.121825183231605</c:v>
                </c:pt>
                <c:pt idx="1">
                  <c:v>1</c:v>
                </c:pt>
                <c:pt idx="2">
                  <c:v>84.878174816768393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542D-47D9-9E4D-58009F1E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270"/>
      </c:pieChart>
      <c:doughnutChart>
        <c:varyColors val="1"/>
        <c:ser>
          <c:idx val="0"/>
          <c:order val="0"/>
          <c:tx>
            <c:strRef>
              <c:f>DASHBORD!$H$8</c:f>
              <c:strCache>
                <c:ptCount val="1"/>
                <c:pt idx="0">
                  <c:v>Prestasjon</c:v>
                </c:pt>
              </c:strCache>
            </c:strRef>
          </c:tx>
          <c:spPr>
            <a:solidFill>
              <a:schemeClr val="tx1">
                <a:alpha val="51000"/>
              </a:schemeClr>
            </a:solidFill>
            <a:ln>
              <a:noFill/>
            </a:ln>
            <a:effectLst/>
          </c:spPr>
          <c:dPt>
            <c:idx val="0"/>
            <c:bubble3D val="0"/>
            <c:spPr>
              <a:solidFill>
                <a:schemeClr val="tx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542D-47D9-9E4D-58009F1EBAB6}"/>
              </c:ext>
            </c:extLst>
          </c:dPt>
          <c:dPt>
            <c:idx val="1"/>
            <c:bubble3D val="0"/>
            <c:spPr>
              <a:solidFill>
                <a:srgbClr val="FF0000">
                  <a:alpha val="60000"/>
                </a:srgbClr>
              </a:solidFill>
              <a:ln w="9525">
                <a:noFill/>
              </a:ln>
              <a:effectLst>
                <a:innerShdw blurRad="63500" dist="50800" dir="135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A-542D-47D9-9E4D-58009F1EBAB6}"/>
              </c:ext>
            </c:extLst>
          </c:dPt>
          <c:dPt>
            <c:idx val="2"/>
            <c:bubble3D val="0"/>
            <c:spPr>
              <a:solidFill>
                <a:srgbClr val="FFFF00">
                  <a:alpha val="51000"/>
                </a:srgbClr>
              </a:solidFill>
              <a:ln w="9525">
                <a:noFill/>
              </a:ln>
              <a:effectLst>
                <a:innerShdw blurRad="63500" dist="50800" dir="162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C-542D-47D9-9E4D-58009F1EBAB6}"/>
              </c:ext>
            </c:extLst>
          </c:dPt>
          <c:dPt>
            <c:idx val="3"/>
            <c:bubble3D val="0"/>
            <c:spPr>
              <a:solidFill>
                <a:srgbClr val="00B050">
                  <a:alpha val="51000"/>
                </a:srgbClr>
              </a:solidFill>
              <a:ln w="9525">
                <a:noFill/>
              </a:ln>
              <a:effectLst>
                <a:innerShdw blurRad="63500" dist="50800" dir="18900000">
                  <a:prstClr val="black">
                    <a:alpha val="50000"/>
                  </a:prstClr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E-542D-47D9-9E4D-58009F1EBAB6}"/>
              </c:ext>
            </c:extLst>
          </c:dPt>
          <c:dPt>
            <c:idx val="4"/>
            <c:bubble3D val="0"/>
            <c:spPr>
              <a:solidFill>
                <a:schemeClr val="bg1">
                  <a:alpha val="51000"/>
                </a:schemeClr>
              </a:solidFill>
              <a:ln w="9525"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542D-47D9-9E4D-58009F1EBAB6}"/>
              </c:ext>
            </c:extLst>
          </c:dPt>
          <c:dLbls>
            <c:dLbl>
              <c:idx val="0"/>
              <c:layout>
                <c:manualLayout>
                  <c:x val="-0.10644223879664108"/>
                  <c:y val="-4.7719298873421141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4.4804373528064247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542D-47D9-9E4D-58009F1EBAB6}"/>
                </c:ext>
              </c:extLst>
            </c:dLbl>
            <c:dLbl>
              <c:idx val="1"/>
              <c:layout>
                <c:manualLayout>
                  <c:x val="2.1260657568576175E-2"/>
                  <c:y val="-0.19883040581465777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15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127849488216885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A-542D-47D9-9E4D-58009F1EBAB6}"/>
                </c:ext>
              </c:extLst>
            </c:dLbl>
            <c:dLbl>
              <c:idx val="2"/>
              <c:layout>
                <c:manualLayout>
                  <c:x val="0.17370436387610361"/>
                  <c:y val="-9.705128205128205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9.2227354509551315E-2"/>
                      <c:h val="6.4298869936647407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C-542D-47D9-9E4D-58009F1EBAB6}"/>
                </c:ext>
              </c:extLst>
            </c:dLbl>
            <c:dLbl>
              <c:idx val="3"/>
              <c:layout>
                <c:manualLayout>
                  <c:x val="0.18209125002585713"/>
                  <c:y val="0.16167756915001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50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8.9455135831498583E-2"/>
                      <c:h val="6.3995050804311712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E-542D-47D9-9E4D-58009F1EBAB6}"/>
                </c:ext>
              </c:extLst>
            </c:dLbl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542D-47D9-9E4D-58009F1EBA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nb-NO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>
                  <a:noFill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numRef>
              <c:f>DASHBORD!$I$9:$I$13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cat>
          <c:val>
            <c:numRef>
              <c:f>DASHBORD!$V$9:$V$13</c:f>
              <c:numCache>
                <c:formatCode>General</c:formatCode>
                <c:ptCount val="5"/>
                <c:pt idx="0">
                  <c:v>0</c:v>
                </c:pt>
                <c:pt idx="1">
                  <c:v>30</c:v>
                </c:pt>
                <c:pt idx="2">
                  <c:v>30</c:v>
                </c:pt>
                <c:pt idx="3">
                  <c:v>40</c:v>
                </c:pt>
                <c:pt idx="4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42D-47D9-9E4D-58009F1EB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70"/>
        <c:holeSize val="55"/>
      </c:doughnutChart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nb-NO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88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>
            <a:lumMod val="95000"/>
          </a:schemeClr>
        </a:fgClr>
        <a:bgClr>
          <a:schemeClr val="lt1"/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850" b="1" i="0" u="none" strike="noStrike" kern="1200" baseline="0"/>
    <cs:bodyPr lIns="38100" tIns="19050" rIns="38100" bIns="19050">
      <a:spAutoFit/>
    </cs:bodyPr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  <a:effectLst>
        <a:outerShdw blurRad="317500" algn="ctr" rotWithShape="0">
          <a:prstClr val="black">
            <a:alpha val="25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88900" sx="102000" sy="102000" algn="ctr" rotWithShape="0">
          <a:prstClr val="black">
            <a:alpha val="20000"/>
          </a:prstClr>
        </a:outerShdw>
      </a:effectLst>
      <a:scene3d>
        <a:camera prst="orthographicFront"/>
        <a:lightRig rig="threePt" dir="t"/>
      </a:scene3d>
      <a:sp3d prstMaterial="matte"/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/>
      </a:solidFill>
    </cs:spPr>
  </cs:downBar>
  <cs:dropLine>
    <cs:lnRef idx="0"/>
    <cs:fillRef idx="0"/>
    <cs:effectRef idx="0"/>
    <cs:fontRef idx="minor">
      <a:schemeClr val="dk1"/>
    </cs:fontRef>
  </cs:dropLine>
  <cs:errorBar>
    <cs:lnRef idx="0"/>
    <cs:fillRef idx="0"/>
    <cs:effectRef idx="0"/>
    <cs:fontRef idx="minor">
      <a:schemeClr val="dk1"/>
    </cs:fontRef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  <a:lumOff val="10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</cs:hiLoLine>
  <cs:leaderLine>
    <cs:lnRef idx="0"/>
    <cs:fillRef idx="0"/>
    <cs:effectRef idx="0"/>
    <cs:fontRef idx="minor">
      <a:schemeClr val="dk1"/>
    </cs:fontRef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8000"/>
        </a:schemeClr>
      </a:solidFill>
    </cs:spPr>
    <cs:defRPr sz="900" kern="1200"/>
    <cs:bodyPr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/>
  </cs:seriesAxis>
  <cs:seriesLine>
    <cs:lnRef idx="0"/>
    <cs:fillRef idx="0"/>
    <cs:effectRef idx="0"/>
    <cs:fontRef idx="minor">
      <a:schemeClr val="dk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dk1">
        <a:lumMod val="65000"/>
        <a:lumOff val="35000"/>
      </a:schemeClr>
    </cs:fontRef>
    <cs:defRPr sz="1800" b="1" kern="1200" baseline="0"/>
    <cs:bodyPr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Radio" checked="Checked" firstButton="1" fmlaLink="'PROD.NORMER TABELL'!$M$24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6.png"/><Relationship Id="rId13" Type="http://schemas.openxmlformats.org/officeDocument/2006/relationships/hyperlink" Target="https://www.skogforsk.se/kunskap/kunskapsbanken/2007/Underlag-for-produktionsnormer-for-extra-stora-engrepsskordare-i-slutavverkning/" TargetMode="External"/><Relationship Id="rId3" Type="http://schemas.openxmlformats.org/officeDocument/2006/relationships/image" Target="../media/image3.png"/><Relationship Id="rId7" Type="http://schemas.openxmlformats.org/officeDocument/2006/relationships/hyperlink" Target="https://facebook.com/sharer/sharer.php?u=http://skogkurs.no/kunnskapsskogen/side.cfm?Id_kategori=10" TargetMode="External"/><Relationship Id="rId12" Type="http://schemas.openxmlformats.org/officeDocument/2006/relationships/hyperlink" Target="http://www.mef.no/Content/163713/Skogsmaskinindeks%201.%20kvartal%202019.pdf" TargetMode="External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5.png"/><Relationship Id="rId11" Type="http://schemas.openxmlformats.org/officeDocument/2006/relationships/hyperlink" Target="http://www.skogoglandskap.no/filearchive/rapport_14_13_prosjektrapport_klimatre_energiforbruk_og_kostnader_skog_og_bioenergi.pdf" TargetMode="External"/><Relationship Id="rId5" Type="http://schemas.openxmlformats.org/officeDocument/2006/relationships/hyperlink" Target="mailto:mf@skogkurs.no?subject=Deling%20av%20Skogfondskalkulator&amp;body=URL:%20http://skogfond.skogkurs.no" TargetMode="External"/><Relationship Id="rId10" Type="http://schemas.openxmlformats.org/officeDocument/2006/relationships/hyperlink" Target="#'NORSKE TILPASNINGER'!A1"/><Relationship Id="rId4" Type="http://schemas.openxmlformats.org/officeDocument/2006/relationships/image" Target="../media/image4.svg"/><Relationship Id="rId9" Type="http://schemas.openxmlformats.org/officeDocument/2006/relationships/hyperlink" Target="#HJELPETABELL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Relationship Id="rId4" Type="http://schemas.openxmlformats.org/officeDocument/2006/relationships/hyperlink" Target="#FORSIDE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11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9.png"/><Relationship Id="rId3" Type="http://schemas.openxmlformats.org/officeDocument/2006/relationships/image" Target="../media/image14.png"/><Relationship Id="rId7" Type="http://schemas.openxmlformats.org/officeDocument/2006/relationships/image" Target="../media/image18.png"/><Relationship Id="rId2" Type="http://schemas.openxmlformats.org/officeDocument/2006/relationships/image" Target="../media/image13.png"/><Relationship Id="rId1" Type="http://schemas.openxmlformats.org/officeDocument/2006/relationships/image" Target="../media/image12.png"/><Relationship Id="rId6" Type="http://schemas.openxmlformats.org/officeDocument/2006/relationships/image" Target="../media/image17.png"/><Relationship Id="rId5" Type="http://schemas.openxmlformats.org/officeDocument/2006/relationships/image" Target="../media/image16.png"/><Relationship Id="rId4" Type="http://schemas.openxmlformats.org/officeDocument/2006/relationships/image" Target="../media/image15.png"/><Relationship Id="rId9" Type="http://schemas.openxmlformats.org/officeDocument/2006/relationships/image" Target="../media/image20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3.png"/><Relationship Id="rId7" Type="http://schemas.openxmlformats.org/officeDocument/2006/relationships/image" Target="../media/image27.png"/><Relationship Id="rId2" Type="http://schemas.openxmlformats.org/officeDocument/2006/relationships/image" Target="../media/image22.png"/><Relationship Id="rId1" Type="http://schemas.openxmlformats.org/officeDocument/2006/relationships/image" Target="../media/image21.png"/><Relationship Id="rId6" Type="http://schemas.openxmlformats.org/officeDocument/2006/relationships/image" Target="../media/image26.png"/><Relationship Id="rId5" Type="http://schemas.openxmlformats.org/officeDocument/2006/relationships/image" Target="../media/image25.png"/><Relationship Id="rId4" Type="http://schemas.openxmlformats.org/officeDocument/2006/relationships/image" Target="../media/image2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FORSIDE!A1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.emf"/><Relationship Id="rId1" Type="http://schemas.openxmlformats.org/officeDocument/2006/relationships/image" Target="../media/image2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352815</xdr:colOff>
      <xdr:row>1</xdr:row>
      <xdr:rowOff>2540</xdr:rowOff>
    </xdr:from>
    <xdr:to>
      <xdr:col>15</xdr:col>
      <xdr:colOff>353776</xdr:colOff>
      <xdr:row>3</xdr:row>
      <xdr:rowOff>34951</xdr:rowOff>
    </xdr:to>
    <xdr:sp macro="ArkFaneKlikk" textlink="">
      <xdr:nvSpPr>
        <xdr:cNvPr id="52" name="Flik_12" hidden="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15</xdr:col>
      <xdr:colOff>345521</xdr:colOff>
      <xdr:row>1</xdr:row>
      <xdr:rowOff>2540</xdr:rowOff>
    </xdr:from>
    <xdr:to>
      <xdr:col>15</xdr:col>
      <xdr:colOff>345847</xdr:colOff>
      <xdr:row>3</xdr:row>
      <xdr:rowOff>34951</xdr:rowOff>
    </xdr:to>
    <xdr:sp macro="ArkFaneKlikk" textlink="">
      <xdr:nvSpPr>
        <xdr:cNvPr id="51" name="Flik_11" hidden="1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15</xdr:col>
      <xdr:colOff>345847</xdr:colOff>
      <xdr:row>1</xdr:row>
      <xdr:rowOff>2540</xdr:rowOff>
    </xdr:from>
    <xdr:to>
      <xdr:col>15</xdr:col>
      <xdr:colOff>377906</xdr:colOff>
      <xdr:row>3</xdr:row>
      <xdr:rowOff>34951</xdr:rowOff>
    </xdr:to>
    <xdr:sp macro="ArkFaneKlikk" textlink="">
      <xdr:nvSpPr>
        <xdr:cNvPr id="49" name="Flik_10" hidden="1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15</xdr:col>
      <xdr:colOff>345538</xdr:colOff>
      <xdr:row>1</xdr:row>
      <xdr:rowOff>2540</xdr:rowOff>
    </xdr:from>
    <xdr:to>
      <xdr:col>15</xdr:col>
      <xdr:colOff>345847</xdr:colOff>
      <xdr:row>3</xdr:row>
      <xdr:rowOff>34951</xdr:rowOff>
    </xdr:to>
    <xdr:sp macro="ArkFaneKlikk" textlink="">
      <xdr:nvSpPr>
        <xdr:cNvPr id="48" name="Flik_09" hidden="1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12</xdr:col>
      <xdr:colOff>1170313</xdr:colOff>
      <xdr:row>1</xdr:row>
      <xdr:rowOff>2540</xdr:rowOff>
    </xdr:from>
    <xdr:to>
      <xdr:col>15</xdr:col>
      <xdr:colOff>345538</xdr:colOff>
      <xdr:row>3</xdr:row>
      <xdr:rowOff>34951</xdr:rowOff>
    </xdr:to>
    <xdr:sp macro="ArkFaneKlikk" textlink="">
      <xdr:nvSpPr>
        <xdr:cNvPr id="47" name="Flik_08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  <xdr:twoCellAnchor editAs="absolute">
    <xdr:from>
      <xdr:col>10</xdr:col>
      <xdr:colOff>1107279</xdr:colOff>
      <xdr:row>1</xdr:row>
      <xdr:rowOff>2540</xdr:rowOff>
    </xdr:from>
    <xdr:to>
      <xdr:col>13</xdr:col>
      <xdr:colOff>180791</xdr:colOff>
      <xdr:row>3</xdr:row>
      <xdr:rowOff>34951</xdr:rowOff>
    </xdr:to>
    <xdr:sp macro="ArkFaneKlikk" textlink="">
      <xdr:nvSpPr>
        <xdr:cNvPr id="46" name="Flik_07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9</xdr:col>
      <xdr:colOff>1057164</xdr:colOff>
      <xdr:row>1</xdr:row>
      <xdr:rowOff>2540</xdr:rowOff>
    </xdr:from>
    <xdr:to>
      <xdr:col>11</xdr:col>
      <xdr:colOff>162178</xdr:colOff>
      <xdr:row>3</xdr:row>
      <xdr:rowOff>34951</xdr:rowOff>
    </xdr:to>
    <xdr:sp macro="ArkFaneKlikk" textlink="">
      <xdr:nvSpPr>
        <xdr:cNvPr id="45" name="Flik_06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8</xdr:col>
      <xdr:colOff>581433</xdr:colOff>
      <xdr:row>1</xdr:row>
      <xdr:rowOff>2540</xdr:rowOff>
    </xdr:from>
    <xdr:to>
      <xdr:col>9</xdr:col>
      <xdr:colOff>1247664</xdr:colOff>
      <xdr:row>3</xdr:row>
      <xdr:rowOff>34951</xdr:rowOff>
    </xdr:to>
    <xdr:sp macro="ArkFaneKlikk" textlink="">
      <xdr:nvSpPr>
        <xdr:cNvPr id="44" name="Flik_05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6</xdr:col>
      <xdr:colOff>1018998</xdr:colOff>
      <xdr:row>1</xdr:row>
      <xdr:rowOff>2540</xdr:rowOff>
    </xdr:from>
    <xdr:to>
      <xdr:col>8</xdr:col>
      <xdr:colOff>771933</xdr:colOff>
      <xdr:row>3</xdr:row>
      <xdr:rowOff>34951</xdr:rowOff>
    </xdr:to>
    <xdr:sp macro="ArkFaneKlikk" textlink="">
      <xdr:nvSpPr>
        <xdr:cNvPr id="43" name="Flik_04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4</xdr:col>
      <xdr:colOff>1171448</xdr:colOff>
      <xdr:row>1</xdr:row>
      <xdr:rowOff>2540</xdr:rowOff>
    </xdr:from>
    <xdr:to>
      <xdr:col>7</xdr:col>
      <xdr:colOff>28508</xdr:colOff>
      <xdr:row>3</xdr:row>
      <xdr:rowOff>34951</xdr:rowOff>
    </xdr:to>
    <xdr:sp macro="ArkFaneKlikk" textlink="">
      <xdr:nvSpPr>
        <xdr:cNvPr id="42" name="Flik_03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3</xdr:col>
      <xdr:colOff>952782</xdr:colOff>
      <xdr:row>1</xdr:row>
      <xdr:rowOff>2540</xdr:rowOff>
    </xdr:from>
    <xdr:to>
      <xdr:col>5</xdr:col>
      <xdr:colOff>28475</xdr:colOff>
      <xdr:row>3</xdr:row>
      <xdr:rowOff>34951</xdr:rowOff>
    </xdr:to>
    <xdr:sp macro="ArkFaneKlikk" textlink="">
      <xdr:nvSpPr>
        <xdr:cNvPr id="41" name="Flik_02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oneCell">
    <xdr:from>
      <xdr:col>0</xdr:col>
      <xdr:colOff>66675</xdr:colOff>
      <xdr:row>3</xdr:row>
      <xdr:rowOff>133349</xdr:rowOff>
    </xdr:from>
    <xdr:to>
      <xdr:col>3</xdr:col>
      <xdr:colOff>187740</xdr:colOff>
      <xdr:row>6</xdr:row>
      <xdr:rowOff>9939</xdr:rowOff>
    </xdr:to>
    <xdr:pic>
      <xdr:nvPicPr>
        <xdr:cNvPr id="3" name="Grafikk 2" descr="Stolpediagram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6675" y="609599"/>
          <a:ext cx="809626" cy="809626"/>
        </a:xfrm>
        <a:prstGeom prst="rect">
          <a:avLst/>
        </a:prstGeom>
      </xdr:spPr>
    </xdr:pic>
    <xdr:clientData/>
  </xdr:twoCellAnchor>
  <xdr:twoCellAnchor editAs="oneCell">
    <xdr:from>
      <xdr:col>12</xdr:col>
      <xdr:colOff>111498</xdr:colOff>
      <xdr:row>43</xdr:row>
      <xdr:rowOff>187708</xdr:rowOff>
    </xdr:from>
    <xdr:to>
      <xdr:col>15</xdr:col>
      <xdr:colOff>162180</xdr:colOff>
      <xdr:row>48</xdr:row>
      <xdr:rowOff>104140</xdr:rowOff>
    </xdr:to>
    <xdr:pic>
      <xdr:nvPicPr>
        <xdr:cNvPr id="67" name="Grafikk 66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9910818" y="10802368"/>
          <a:ext cx="2397642" cy="741932"/>
        </a:xfrm>
        <a:prstGeom prst="rect">
          <a:avLst/>
        </a:prstGeom>
      </xdr:spPr>
    </xdr:pic>
    <xdr:clientData/>
  </xdr:twoCellAnchor>
  <xdr:twoCellAnchor editAs="oneCell">
    <xdr:from>
      <xdr:col>14</xdr:col>
      <xdr:colOff>35859</xdr:colOff>
      <xdr:row>42</xdr:row>
      <xdr:rowOff>127744</xdr:rowOff>
    </xdr:from>
    <xdr:to>
      <xdr:col>14</xdr:col>
      <xdr:colOff>307915</xdr:colOff>
      <xdr:row>42</xdr:row>
      <xdr:rowOff>409394</xdr:rowOff>
    </xdr:to>
    <xdr:pic>
      <xdr:nvPicPr>
        <xdr:cNvPr id="68" name="Bilde 67" descr="E-mail icon">
          <a:hlinkClick xmlns:r="http://schemas.openxmlformats.org/officeDocument/2006/relationships" r:id="rId5" tooltip="E-mail"/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26719" y="8921224"/>
          <a:ext cx="287020" cy="28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13</xdr:col>
      <xdr:colOff>324409</xdr:colOff>
      <xdr:row>42</xdr:row>
      <xdr:rowOff>127744</xdr:rowOff>
    </xdr:from>
    <xdr:to>
      <xdr:col>13</xdr:col>
      <xdr:colOff>612409</xdr:colOff>
      <xdr:row>42</xdr:row>
      <xdr:rowOff>409394</xdr:rowOff>
    </xdr:to>
    <xdr:pic>
      <xdr:nvPicPr>
        <xdr:cNvPr id="69" name="Bilde 68" descr="Facebook icon">
          <a:hlinkClick xmlns:r="http://schemas.openxmlformats.org/officeDocument/2006/relationships" r:id="rId7" tooltip="Facebook"/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283749" y="8921224"/>
          <a:ext cx="288000" cy="288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1</xdr:col>
      <xdr:colOff>9883</xdr:colOff>
      <xdr:row>1</xdr:row>
      <xdr:rowOff>2540</xdr:rowOff>
    </xdr:from>
    <xdr:to>
      <xdr:col>3</xdr:col>
      <xdr:colOff>1143282</xdr:colOff>
      <xdr:row>3</xdr:row>
      <xdr:rowOff>34951</xdr:rowOff>
    </xdr:to>
    <xdr:sp macro="ArkFaneKlikk" textlink="">
      <xdr:nvSpPr>
        <xdr:cNvPr id="40" name="Flik_01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 baseline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xdr:oneCellAnchor>
    <xdr:from>
      <xdr:col>8</xdr:col>
      <xdr:colOff>914400</xdr:colOff>
      <xdr:row>21</xdr:row>
      <xdr:rowOff>85725</xdr:rowOff>
    </xdr:from>
    <xdr:ext cx="1924050" cy="238125"/>
    <xdr:sp macro="" textlink="">
      <xdr:nvSpPr>
        <xdr:cNvPr id="2" name="TextBox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6000750" y="3848100"/>
          <a:ext cx="1924050" cy="2381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/>
        </a:p>
      </xdr:txBody>
    </xdr:sp>
    <xdr:clientData/>
  </xdr:oneCellAnchor>
  <xdr:oneCellAnchor>
    <xdr:from>
      <xdr:col>8</xdr:col>
      <xdr:colOff>933450</xdr:colOff>
      <xdr:row>22</xdr:row>
      <xdr:rowOff>161925</xdr:rowOff>
    </xdr:from>
    <xdr:ext cx="1924050" cy="428625"/>
    <xdr:sp macro="" textlink="">
      <xdr:nvSpPr>
        <xdr:cNvPr id="20" name="TextBox 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6019800" y="4238625"/>
          <a:ext cx="1924050" cy="4286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endParaRPr lang="nb-NO" sz="1100"/>
        </a:p>
      </xdr:txBody>
    </xdr:sp>
    <xdr:clientData/>
  </xdr:oneCellAnchor>
  <xdr:twoCellAnchor>
    <xdr:from>
      <xdr:col>4</xdr:col>
      <xdr:colOff>504825</xdr:colOff>
      <xdr:row>45</xdr:row>
      <xdr:rowOff>15241</xdr:rowOff>
    </xdr:from>
    <xdr:to>
      <xdr:col>9</xdr:col>
      <xdr:colOff>104775</xdr:colOff>
      <xdr:row>46</xdr:row>
      <xdr:rowOff>38101</xdr:rowOff>
    </xdr:to>
    <xdr:sp macro="" textlink="">
      <xdr:nvSpPr>
        <xdr:cNvPr id="5" name="TekstSylinder 4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2554605" y="11010901"/>
          <a:ext cx="4354830" cy="2057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8</xdr:col>
      <xdr:colOff>276225</xdr:colOff>
      <xdr:row>47</xdr:row>
      <xdr:rowOff>9525</xdr:rowOff>
    </xdr:from>
    <xdr:to>
      <xdr:col>9</xdr:col>
      <xdr:colOff>723900</xdr:colOff>
      <xdr:row>48</xdr:row>
      <xdr:rowOff>9526</xdr:rowOff>
    </xdr:to>
    <xdr:sp macro="" textlink="">
      <xdr:nvSpPr>
        <xdr:cNvPr id="6" name="TekstSylinder 5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029325" y="11353800"/>
          <a:ext cx="1514475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4</xdr:col>
      <xdr:colOff>1260787</xdr:colOff>
      <xdr:row>44</xdr:row>
      <xdr:rowOff>111744</xdr:rowOff>
    </xdr:from>
    <xdr:to>
      <xdr:col>8</xdr:col>
      <xdr:colOff>961050</xdr:colOff>
      <xdr:row>45</xdr:row>
      <xdr:rowOff>99245</xdr:rowOff>
    </xdr:to>
    <xdr:sp macro="" textlink="">
      <xdr:nvSpPr>
        <xdr:cNvPr id="7" name="TekstSylinder 6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3333055" y="11039939"/>
          <a:ext cx="3426629" cy="1733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xdr:twoCellAnchor>
    <xdr:from>
      <xdr:col>2</xdr:col>
      <xdr:colOff>247650</xdr:colOff>
      <xdr:row>44</xdr:row>
      <xdr:rowOff>38100</xdr:rowOff>
    </xdr:from>
    <xdr:to>
      <xdr:col>7</xdr:col>
      <xdr:colOff>19050</xdr:colOff>
      <xdr:row>45</xdr:row>
      <xdr:rowOff>0</xdr:rowOff>
    </xdr:to>
    <xdr:sp macro="" textlink="">
      <xdr:nvSpPr>
        <xdr:cNvPr id="8" name="TekstSylinder 7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581025" y="10934700"/>
          <a:ext cx="4381500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nb-NO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16</xdr:row>
          <xdr:rowOff>83820</xdr:rowOff>
        </xdr:from>
        <xdr:to>
          <xdr:col>4</xdr:col>
          <xdr:colOff>914400</xdr:colOff>
          <xdr:row>17</xdr:row>
          <xdr:rowOff>190500</xdr:rowOff>
        </xdr:to>
        <xdr:sp macro="" textlink="">
          <xdr:nvSpPr>
            <xdr:cNvPr id="10331" name="Alternativknapp 91" hidden="1">
              <a:extLst>
                <a:ext uri="{63B3BB69-23CF-44E3-9099-C40C66FF867C}">
                  <a14:compatExt spid="_x0000_s10331"/>
                </a:ext>
                <a:ext uri="{FF2B5EF4-FFF2-40B4-BE49-F238E27FC236}">
                  <a16:creationId xmlns:a16="http://schemas.microsoft.com/office/drawing/2014/main" id="{00000000-0008-0000-0000-00005B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Dal- og fjellskog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17</xdr:row>
          <xdr:rowOff>106680</xdr:rowOff>
        </xdr:from>
        <xdr:to>
          <xdr:col>6</xdr:col>
          <xdr:colOff>335280</xdr:colOff>
          <xdr:row>18</xdr:row>
          <xdr:rowOff>190500</xdr:rowOff>
        </xdr:to>
        <xdr:sp macro="" textlink="">
          <xdr:nvSpPr>
            <xdr:cNvPr id="10333" name="Alternativknapp 93" hidden="1">
              <a:extLst>
                <a:ext uri="{63B3BB69-23CF-44E3-9099-C40C66FF867C}">
                  <a14:compatExt spid="_x0000_s10333"/>
                </a:ext>
                <a:ext uri="{FF2B5EF4-FFF2-40B4-BE49-F238E27FC236}">
                  <a16:creationId xmlns:a16="http://schemas.microsoft.com/office/drawing/2014/main" id="{00000000-0008-0000-0000-00005D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Låglandsskog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121920</xdr:colOff>
          <xdr:row>18</xdr:row>
          <xdr:rowOff>114300</xdr:rowOff>
        </xdr:from>
        <xdr:to>
          <xdr:col>6</xdr:col>
          <xdr:colOff>190500</xdr:colOff>
          <xdr:row>19</xdr:row>
          <xdr:rowOff>190500</xdr:rowOff>
        </xdr:to>
        <xdr:sp macro="" textlink="">
          <xdr:nvSpPr>
            <xdr:cNvPr id="10334" name="Alternativknapp 94" hidden="1">
              <a:extLst>
                <a:ext uri="{63B3BB69-23CF-44E3-9099-C40C66FF867C}">
                  <a14:compatExt spid="_x0000_s10334"/>
                </a:ext>
                <a:ext uri="{FF2B5EF4-FFF2-40B4-BE49-F238E27FC236}">
                  <a16:creationId xmlns:a16="http://schemas.microsoft.com/office/drawing/2014/main" id="{00000000-0008-0000-0000-00005E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Særlig velpleid og jevn skog - bruk av ekstra store maskiner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373380</xdr:colOff>
          <xdr:row>15</xdr:row>
          <xdr:rowOff>198120</xdr:rowOff>
        </xdr:from>
        <xdr:to>
          <xdr:col>6</xdr:col>
          <xdr:colOff>487680</xdr:colOff>
          <xdr:row>20</xdr:row>
          <xdr:rowOff>38100</xdr:rowOff>
        </xdr:to>
        <xdr:sp macro="" textlink="">
          <xdr:nvSpPr>
            <xdr:cNvPr id="10338" name="Grupperingsboks 98" hidden="1">
              <a:extLst>
                <a:ext uri="{63B3BB69-23CF-44E3-9099-C40C66FF867C}">
                  <a14:compatExt spid="_x0000_s10338"/>
                </a:ext>
                <a:ext uri="{FF2B5EF4-FFF2-40B4-BE49-F238E27FC236}">
                  <a16:creationId xmlns:a16="http://schemas.microsoft.com/office/drawing/2014/main" id="{00000000-0008-0000-0000-00006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nb-NO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Skogtype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4</xdr:row>
      <xdr:rowOff>25400</xdr:rowOff>
    </xdr:from>
    <xdr:to>
      <xdr:col>6</xdr:col>
      <xdr:colOff>454608</xdr:colOff>
      <xdr:row>1048576</xdr:row>
      <xdr:rowOff>144145</xdr:rowOff>
    </xdr:to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09550"/>
          <a:ext cx="5495238" cy="7533333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7</xdr:col>
      <xdr:colOff>406400</xdr:colOff>
      <xdr:row>4</xdr:row>
      <xdr:rowOff>57150</xdr:rowOff>
    </xdr:from>
    <xdr:to>
      <xdr:col>13</xdr:col>
      <xdr:colOff>685769</xdr:colOff>
      <xdr:row>42</xdr:row>
      <xdr:rowOff>162344</xdr:rowOff>
    </xdr:to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740400" y="793750"/>
          <a:ext cx="5323809" cy="6809524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14</xdr:col>
      <xdr:colOff>641350</xdr:colOff>
      <xdr:row>4</xdr:row>
      <xdr:rowOff>76200</xdr:rowOff>
    </xdr:from>
    <xdr:to>
      <xdr:col>21</xdr:col>
      <xdr:colOff>78712</xdr:colOff>
      <xdr:row>43</xdr:row>
      <xdr:rowOff>66450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309350" y="812800"/>
          <a:ext cx="5304762" cy="6876190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0</xdr:col>
      <xdr:colOff>317500</xdr:colOff>
      <xdr:row>1</xdr:row>
      <xdr:rowOff>12700</xdr:rowOff>
    </xdr:from>
    <xdr:to>
      <xdr:col>2</xdr:col>
      <xdr:colOff>755650</xdr:colOff>
      <xdr:row>3</xdr:row>
      <xdr:rowOff>82550</xdr:rowOff>
    </xdr:to>
    <xdr:sp macro="" textlink="">
      <xdr:nvSpPr>
        <xdr:cNvPr id="5" name="TekstSylinder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17500" y="196850"/>
          <a:ext cx="1962150" cy="4381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600"/>
            <a:t>Tilbake</a:t>
          </a:r>
          <a:r>
            <a:rPr lang="nb-NO" sz="1600" baseline="0"/>
            <a:t> til FORSIDE</a:t>
          </a:r>
          <a:endParaRPr lang="nb-NO" sz="1600"/>
        </a:p>
      </xdr:txBody>
    </xdr:sp>
    <xdr:clientData/>
  </xdr:twoCellAnchor>
  <xdr:twoCellAnchor>
    <xdr:from>
      <xdr:col>19</xdr:col>
      <xdr:colOff>0</xdr:colOff>
      <xdr:row>43</xdr:row>
      <xdr:rowOff>0</xdr:rowOff>
    </xdr:from>
    <xdr:to>
      <xdr:col>21</xdr:col>
      <xdr:colOff>438150</xdr:colOff>
      <xdr:row>45</xdr:row>
      <xdr:rowOff>69850</xdr:rowOff>
    </xdr:to>
    <xdr:sp macro="" textlink="">
      <xdr:nvSpPr>
        <xdr:cNvPr id="7" name="TekstSylinder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14478000" y="7918450"/>
          <a:ext cx="1962150" cy="438150"/>
        </a:xfrm>
        <a:prstGeom prst="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600"/>
            <a:t>Tilbake</a:t>
          </a:r>
          <a:r>
            <a:rPr lang="nb-NO" sz="1600" baseline="0"/>
            <a:t> til FORSIDE</a:t>
          </a:r>
          <a:endParaRPr lang="nb-NO" sz="16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20</xdr:col>
      <xdr:colOff>1029922</xdr:colOff>
      <xdr:row>1</xdr:row>
      <xdr:rowOff>10829</xdr:rowOff>
    </xdr:from>
    <xdr:to>
      <xdr:col>24</xdr:col>
      <xdr:colOff>124902</xdr:colOff>
      <xdr:row>3</xdr:row>
      <xdr:rowOff>26061</xdr:rowOff>
    </xdr:to>
    <xdr:sp macro="ArkFaneKlikk" textlink="">
      <xdr:nvSpPr>
        <xdr:cNvPr id="33" name="Flik_12" hidden="1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19</xdr:col>
      <xdr:colOff>193409</xdr:colOff>
      <xdr:row>1</xdr:row>
      <xdr:rowOff>6350</xdr:rowOff>
    </xdr:from>
    <xdr:to>
      <xdr:col>21</xdr:col>
      <xdr:colOff>111349</xdr:colOff>
      <xdr:row>3</xdr:row>
      <xdr:rowOff>26061</xdr:rowOff>
    </xdr:to>
    <xdr:sp macro="ArkFaneKlikk" textlink="">
      <xdr:nvSpPr>
        <xdr:cNvPr id="32" name="Flik_11" hidden="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17</xdr:col>
      <xdr:colOff>850324</xdr:colOff>
      <xdr:row>1</xdr:row>
      <xdr:rowOff>6350</xdr:rowOff>
    </xdr:from>
    <xdr:to>
      <xdr:col>19</xdr:col>
      <xdr:colOff>406860</xdr:colOff>
      <xdr:row>3</xdr:row>
      <xdr:rowOff>26061</xdr:rowOff>
    </xdr:to>
    <xdr:sp macro="ArkFaneKlikk" textlink="">
      <xdr:nvSpPr>
        <xdr:cNvPr id="31" name="Flik_10" hidden="1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16</xdr:col>
      <xdr:colOff>469378</xdr:colOff>
      <xdr:row>1</xdr:row>
      <xdr:rowOff>6350</xdr:rowOff>
    </xdr:from>
    <xdr:to>
      <xdr:col>17</xdr:col>
      <xdr:colOff>1040824</xdr:colOff>
      <xdr:row>3</xdr:row>
      <xdr:rowOff>26061</xdr:rowOff>
    </xdr:to>
    <xdr:sp macro="ArkFaneKlikk" textlink="">
      <xdr:nvSpPr>
        <xdr:cNvPr id="30" name="Flik_09" hidden="1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15</xdr:col>
      <xdr:colOff>759173</xdr:colOff>
      <xdr:row>1</xdr:row>
      <xdr:rowOff>6350</xdr:rowOff>
    </xdr:from>
    <xdr:to>
      <xdr:col>16</xdr:col>
      <xdr:colOff>659878</xdr:colOff>
      <xdr:row>3</xdr:row>
      <xdr:rowOff>26061</xdr:rowOff>
    </xdr:to>
    <xdr:sp macro="ArkFaneKlikk" textlink="">
      <xdr:nvSpPr>
        <xdr:cNvPr id="29" name="Flik_08" hidden="1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  <xdr:twoCellAnchor editAs="absolute">
    <xdr:from>
      <xdr:col>12</xdr:col>
      <xdr:colOff>68983</xdr:colOff>
      <xdr:row>1</xdr:row>
      <xdr:rowOff>6350</xdr:rowOff>
    </xdr:from>
    <xdr:to>
      <xdr:col>15</xdr:col>
      <xdr:colOff>949673</xdr:colOff>
      <xdr:row>3</xdr:row>
      <xdr:rowOff>26061</xdr:rowOff>
    </xdr:to>
    <xdr:sp macro="ArkFaneKlikk" textlink="">
      <xdr:nvSpPr>
        <xdr:cNvPr id="28" name="Flik_07" hidden="1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9</xdr:col>
      <xdr:colOff>345806</xdr:colOff>
      <xdr:row>1</xdr:row>
      <xdr:rowOff>6350</xdr:rowOff>
    </xdr:from>
    <xdr:to>
      <xdr:col>12</xdr:col>
      <xdr:colOff>259483</xdr:colOff>
      <xdr:row>3</xdr:row>
      <xdr:rowOff>26061</xdr:rowOff>
    </xdr:to>
    <xdr:sp macro="ArkFaneKlikk" textlink="">
      <xdr:nvSpPr>
        <xdr:cNvPr id="27" name="Flik_06" hidden="1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7</xdr:col>
      <xdr:colOff>104378</xdr:colOff>
      <xdr:row>1</xdr:row>
      <xdr:rowOff>6350</xdr:rowOff>
    </xdr:from>
    <xdr:to>
      <xdr:col>10</xdr:col>
      <xdr:colOff>7441</xdr:colOff>
      <xdr:row>3</xdr:row>
      <xdr:rowOff>26061</xdr:rowOff>
    </xdr:to>
    <xdr:sp macro="ArkFaneKlikk" textlink="">
      <xdr:nvSpPr>
        <xdr:cNvPr id="26" name="Flik_05" hidden="1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5</xdr:col>
      <xdr:colOff>292845</xdr:colOff>
      <xdr:row>1</xdr:row>
      <xdr:rowOff>6350</xdr:rowOff>
    </xdr:from>
    <xdr:to>
      <xdr:col>7</xdr:col>
      <xdr:colOff>294878</xdr:colOff>
      <xdr:row>3</xdr:row>
      <xdr:rowOff>26061</xdr:rowOff>
    </xdr:to>
    <xdr:sp macro="ArkFaneKlikk" textlink="">
      <xdr:nvSpPr>
        <xdr:cNvPr id="23" name="Flik_04" hidden="1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3</xdr:col>
      <xdr:colOff>1134546</xdr:colOff>
      <xdr:row>1</xdr:row>
      <xdr:rowOff>6350</xdr:rowOff>
    </xdr:from>
    <xdr:to>
      <xdr:col>5</xdr:col>
      <xdr:colOff>483345</xdr:colOff>
      <xdr:row>3</xdr:row>
      <xdr:rowOff>26061</xdr:rowOff>
    </xdr:to>
    <xdr:sp macro="ArkFaneKlikk" textlink="">
      <xdr:nvSpPr>
        <xdr:cNvPr id="22" name="Flik_03" hidden="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1</xdr:col>
      <xdr:colOff>12351</xdr:colOff>
      <xdr:row>1</xdr:row>
      <xdr:rowOff>6350</xdr:rowOff>
    </xdr:from>
    <xdr:to>
      <xdr:col>2</xdr:col>
      <xdr:colOff>1559778</xdr:colOff>
      <xdr:row>3</xdr:row>
      <xdr:rowOff>26061</xdr:rowOff>
    </xdr:to>
    <xdr:sp macro="ArkFaneKlikk" textlink="">
      <xdr:nvSpPr>
        <xdr:cNvPr id="20" name="Flik_01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 baseline="0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xdr:twoCellAnchor>
    <xdr:from>
      <xdr:col>6</xdr:col>
      <xdr:colOff>24494</xdr:colOff>
      <xdr:row>5</xdr:row>
      <xdr:rowOff>309684</xdr:rowOff>
    </xdr:from>
    <xdr:to>
      <xdr:col>12</xdr:col>
      <xdr:colOff>420863</xdr:colOff>
      <xdr:row>13</xdr:row>
      <xdr:rowOff>477884</xdr:rowOff>
    </xdr:to>
    <xdr:graphicFrame macro="">
      <xdr:nvGraphicFramePr>
        <xdr:cNvPr id="4" name="Diagram 39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61706</xdr:colOff>
      <xdr:row>5</xdr:row>
      <xdr:rowOff>285751</xdr:rowOff>
    </xdr:from>
    <xdr:to>
      <xdr:col>26</xdr:col>
      <xdr:colOff>107016</xdr:colOff>
      <xdr:row>13</xdr:row>
      <xdr:rowOff>449580</xdr:rowOff>
    </xdr:to>
    <xdr:graphicFrame macro="">
      <xdr:nvGraphicFramePr>
        <xdr:cNvPr id="5" name="Diagram 2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57150</xdr:colOff>
      <xdr:row>16</xdr:row>
      <xdr:rowOff>271182</xdr:rowOff>
    </xdr:from>
    <xdr:to>
      <xdr:col>5</xdr:col>
      <xdr:colOff>828675</xdr:colOff>
      <xdr:row>16</xdr:row>
      <xdr:rowOff>404532</xdr:rowOff>
    </xdr:to>
    <xdr:sp macro="" textlink="">
      <xdr:nvSpPr>
        <xdr:cNvPr id="3" name="Pil høy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4203326" y="6053417"/>
          <a:ext cx="771525" cy="133350"/>
        </a:xfrm>
        <a:prstGeom prst="righ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18</xdr:col>
      <xdr:colOff>57150</xdr:colOff>
      <xdr:row>16</xdr:row>
      <xdr:rowOff>271182</xdr:rowOff>
    </xdr:from>
    <xdr:to>
      <xdr:col>18</xdr:col>
      <xdr:colOff>828675</xdr:colOff>
      <xdr:row>16</xdr:row>
      <xdr:rowOff>404532</xdr:rowOff>
    </xdr:to>
    <xdr:sp macro="" textlink="">
      <xdr:nvSpPr>
        <xdr:cNvPr id="24" name="Pil høy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13930032" y="6053417"/>
          <a:ext cx="771525" cy="133350"/>
        </a:xfrm>
        <a:prstGeom prst="rightArrow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7</xdr:col>
      <xdr:colOff>367872</xdr:colOff>
      <xdr:row>10</xdr:row>
      <xdr:rowOff>716536</xdr:rowOff>
    </xdr:from>
    <xdr:to>
      <xdr:col>11</xdr:col>
      <xdr:colOff>238125</xdr:colOff>
      <xdr:row>12</xdr:row>
      <xdr:rowOff>236738</xdr:rowOff>
    </xdr:to>
    <xdr:sp macro="" textlink="">
      <xdr:nvSpPr>
        <xdr:cNvPr id="2" name="txtHogstInf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863797" y="3983611"/>
          <a:ext cx="1946703" cy="406027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b-NO" sz="2000" b="1">
              <a:solidFill>
                <a:srgbClr val="002060"/>
              </a:solidFill>
            </a:rPr>
            <a:t>M</a:t>
          </a:r>
          <a:r>
            <a:rPr lang="nb-NO" sz="2000" b="1" baseline="30000">
              <a:solidFill>
                <a:srgbClr val="002060"/>
              </a:solidFill>
            </a:rPr>
            <a:t>3</a:t>
          </a:r>
          <a:r>
            <a:rPr lang="nb-NO" sz="2000" b="1" baseline="0">
              <a:solidFill>
                <a:srgbClr val="002060"/>
              </a:solidFill>
            </a:rPr>
            <a:t> PR G</a:t>
          </a:r>
          <a:r>
            <a:rPr lang="nb-NO" sz="2000" b="1" baseline="-25000">
              <a:solidFill>
                <a:srgbClr val="002060"/>
              </a:solidFill>
            </a:rPr>
            <a:t>15</a:t>
          </a:r>
          <a:r>
            <a:rPr lang="nb-NO" sz="2000" b="1" baseline="0">
              <a:solidFill>
                <a:srgbClr val="002060"/>
              </a:solidFill>
            </a:rPr>
            <a:t>-TIME </a:t>
          </a:r>
          <a:endParaRPr lang="nb-NO" sz="2000" b="1">
            <a:solidFill>
              <a:srgbClr val="002060"/>
            </a:solidFill>
          </a:endParaRPr>
        </a:p>
      </xdr:txBody>
    </xdr:sp>
    <xdr:clientData/>
  </xdr:twoCellAnchor>
  <xdr:twoCellAnchor>
    <xdr:from>
      <xdr:col>20</xdr:col>
      <xdr:colOff>646393</xdr:colOff>
      <xdr:row>11</xdr:row>
      <xdr:rowOff>76448</xdr:rowOff>
    </xdr:from>
    <xdr:to>
      <xdr:col>24</xdr:col>
      <xdr:colOff>252942</xdr:colOff>
      <xdr:row>12</xdr:row>
      <xdr:rowOff>390213</xdr:rowOff>
    </xdr:to>
    <xdr:sp macro="" textlink="">
      <xdr:nvSpPr>
        <xdr:cNvPr id="37" name="txtLassInfo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 txBox="1"/>
      </xdr:nvSpPr>
      <xdr:spPr>
        <a:xfrm>
          <a:off x="16781743" y="4095998"/>
          <a:ext cx="2254499" cy="418540"/>
        </a:xfrm>
        <a:prstGeom prst="rect">
          <a:avLst/>
        </a:prstGeom>
        <a:solidFill>
          <a:schemeClr val="bg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nb-NO" sz="2000" b="1">
              <a:solidFill>
                <a:srgbClr val="002060"/>
              </a:solidFill>
            </a:rPr>
            <a:t>M</a:t>
          </a:r>
          <a:r>
            <a:rPr lang="nb-NO" sz="2000" b="1" baseline="30000">
              <a:solidFill>
                <a:srgbClr val="002060"/>
              </a:solidFill>
            </a:rPr>
            <a:t>3</a:t>
          </a:r>
          <a:r>
            <a:rPr lang="nb-NO" sz="2000" b="1" baseline="0">
              <a:solidFill>
                <a:srgbClr val="002060"/>
              </a:solidFill>
            </a:rPr>
            <a:t> PR G</a:t>
          </a:r>
          <a:r>
            <a:rPr lang="nb-NO" sz="2000" b="1" baseline="-25000">
              <a:solidFill>
                <a:srgbClr val="002060"/>
              </a:solidFill>
            </a:rPr>
            <a:t>15</a:t>
          </a:r>
          <a:r>
            <a:rPr lang="nb-NO" sz="2000" b="1" baseline="0">
              <a:solidFill>
                <a:srgbClr val="002060"/>
              </a:solidFill>
            </a:rPr>
            <a:t>-TIME</a:t>
          </a:r>
          <a:endParaRPr lang="nb-NO" sz="2000" b="1">
            <a:solidFill>
              <a:srgbClr val="002060"/>
            </a:solidFill>
          </a:endParaRPr>
        </a:p>
      </xdr:txBody>
    </xdr:sp>
    <xdr:clientData/>
  </xdr:twoCellAnchor>
  <xdr:twoCellAnchor editAs="absolute">
    <xdr:from>
      <xdr:col>2</xdr:col>
      <xdr:colOff>1369278</xdr:colOff>
      <xdr:row>1</xdr:row>
      <xdr:rowOff>6350</xdr:rowOff>
    </xdr:from>
    <xdr:to>
      <xdr:col>4</xdr:col>
      <xdr:colOff>121993</xdr:colOff>
      <xdr:row>3</xdr:row>
      <xdr:rowOff>26061</xdr:rowOff>
    </xdr:to>
    <xdr:sp macro="ArkFaneKlikk" textlink="">
      <xdr:nvSpPr>
        <xdr:cNvPr id="21" name="Flik_02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oneCell">
    <xdr:from>
      <xdr:col>21</xdr:col>
      <xdr:colOff>438150</xdr:colOff>
      <xdr:row>3</xdr:row>
      <xdr:rowOff>114300</xdr:rowOff>
    </xdr:from>
    <xdr:to>
      <xdr:col>24</xdr:col>
      <xdr:colOff>753200</xdr:colOff>
      <xdr:row>5</xdr:row>
      <xdr:rowOff>35117</xdr:rowOff>
    </xdr:to>
    <xdr:pic>
      <xdr:nvPicPr>
        <xdr:cNvPr id="36" name="Grafikk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5668625" y="571500"/>
          <a:ext cx="1800225" cy="61342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78443</xdr:colOff>
      <xdr:row>6</xdr:row>
      <xdr:rowOff>89647</xdr:rowOff>
    </xdr:from>
    <xdr:to>
      <xdr:col>4</xdr:col>
      <xdr:colOff>466727</xdr:colOff>
      <xdr:row>8</xdr:row>
      <xdr:rowOff>129987</xdr:rowOff>
    </xdr:to>
    <xdr:pic>
      <xdr:nvPicPr>
        <xdr:cNvPr id="4" name="Bild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27914" y="1176618"/>
          <a:ext cx="2909607" cy="4437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1656944</xdr:colOff>
      <xdr:row>10</xdr:row>
      <xdr:rowOff>89647</xdr:rowOff>
    </xdr:from>
    <xdr:to>
      <xdr:col>6</xdr:col>
      <xdr:colOff>50799</xdr:colOff>
      <xdr:row>12</xdr:row>
      <xdr:rowOff>111760</xdr:rowOff>
    </xdr:to>
    <xdr:pic>
      <xdr:nvPicPr>
        <xdr:cNvPr id="27" name="Bilde 26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46224" y="2639807"/>
          <a:ext cx="2569615" cy="428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963705</xdr:colOff>
      <xdr:row>11</xdr:row>
      <xdr:rowOff>0</xdr:rowOff>
    </xdr:from>
    <xdr:to>
      <xdr:col>2</xdr:col>
      <xdr:colOff>1602443</xdr:colOff>
      <xdr:row>17</xdr:row>
      <xdr:rowOff>19050</xdr:rowOff>
    </xdr:to>
    <xdr:cxnSp macro="">
      <xdr:nvCxnSpPr>
        <xdr:cNvPr id="30" name="Vinkel 29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CxnSpPr/>
      </xdr:nvCxnSpPr>
      <xdr:spPr>
        <a:xfrm rot="10800000" flipV="1">
          <a:off x="1430430" y="2426075"/>
          <a:ext cx="638738" cy="355225"/>
        </a:xfrm>
        <a:prstGeom prst="bentConnector3">
          <a:avLst/>
        </a:prstGeom>
        <a:ln w="25400">
          <a:solidFill>
            <a:srgbClr val="FF0000"/>
          </a:solidFill>
          <a:headEnd type="none"/>
          <a:tailEnd type="stealt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254000</xdr:colOff>
      <xdr:row>11</xdr:row>
      <xdr:rowOff>1</xdr:rowOff>
    </xdr:from>
    <xdr:to>
      <xdr:col>2</xdr:col>
      <xdr:colOff>932986</xdr:colOff>
      <xdr:row>13</xdr:row>
      <xdr:rowOff>10160</xdr:rowOff>
    </xdr:to>
    <xdr:pic>
      <xdr:nvPicPr>
        <xdr:cNvPr id="33" name="Bilde 32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65760" y="2753361"/>
          <a:ext cx="1156506" cy="41655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21</xdr:col>
      <xdr:colOff>1248782</xdr:colOff>
      <xdr:row>6</xdr:row>
      <xdr:rowOff>105408</xdr:rowOff>
    </xdr:from>
    <xdr:to>
      <xdr:col>22</xdr:col>
      <xdr:colOff>592455</xdr:colOff>
      <xdr:row>7</xdr:row>
      <xdr:rowOff>141454</xdr:rowOff>
    </xdr:to>
    <xdr:pic>
      <xdr:nvPicPr>
        <xdr:cNvPr id="44" name="Bilde 43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112862" y="1842768"/>
          <a:ext cx="1202953" cy="23924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9</xdr:col>
      <xdr:colOff>1014693</xdr:colOff>
      <xdr:row>20</xdr:row>
      <xdr:rowOff>97492</xdr:rowOff>
    </xdr:from>
    <xdr:ext cx="2021584" cy="377637"/>
    <xdr:pic>
      <xdr:nvPicPr>
        <xdr:cNvPr id="50" name="Bilde 49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454201" y="3948523"/>
          <a:ext cx="2021584" cy="377637"/>
        </a:xfrm>
        <a:prstGeom prst="rect">
          <a:avLst/>
        </a:prstGeom>
      </xdr:spPr>
    </xdr:pic>
    <xdr:clientData/>
  </xdr:oneCellAnchor>
  <xdr:oneCellAnchor>
    <xdr:from>
      <xdr:col>28</xdr:col>
      <xdr:colOff>1200150</xdr:colOff>
      <xdr:row>6</xdr:row>
      <xdr:rowOff>26754</xdr:rowOff>
    </xdr:from>
    <xdr:ext cx="942975" cy="210905"/>
    <xdr:pic>
      <xdr:nvPicPr>
        <xdr:cNvPr id="54" name="Bilde 53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l="1396" t="7891" r="1328" b="4567"/>
        <a:stretch/>
      </xdr:blipFill>
      <xdr:spPr>
        <a:xfrm>
          <a:off x="11134725" y="617304"/>
          <a:ext cx="714375" cy="210905"/>
        </a:xfrm>
        <a:prstGeom prst="rect">
          <a:avLst/>
        </a:prstGeom>
      </xdr:spPr>
    </xdr:pic>
    <xdr:clientData/>
  </xdr:oneCellAnchor>
  <xdr:oneCellAnchor>
    <xdr:from>
      <xdr:col>28</xdr:col>
      <xdr:colOff>1239202</xdr:colOff>
      <xdr:row>17</xdr:row>
      <xdr:rowOff>209550</xdr:rowOff>
    </xdr:from>
    <xdr:ext cx="1231463" cy="409575"/>
    <xdr:pic>
      <xdr:nvPicPr>
        <xdr:cNvPr id="56" name="Bilde 55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1173777" y="2200275"/>
          <a:ext cx="926663" cy="409575"/>
        </a:xfrm>
        <a:prstGeom prst="rect">
          <a:avLst/>
        </a:prstGeom>
      </xdr:spPr>
    </xdr:pic>
    <xdr:clientData/>
  </xdr:oneCellAnchor>
  <xdr:oneCellAnchor>
    <xdr:from>
      <xdr:col>28</xdr:col>
      <xdr:colOff>1181100</xdr:colOff>
      <xdr:row>5</xdr:row>
      <xdr:rowOff>320040</xdr:rowOff>
    </xdr:from>
    <xdr:ext cx="2554355" cy="394286"/>
    <xdr:pic>
      <xdr:nvPicPr>
        <xdr:cNvPr id="2" name="Bild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1111948" y="1728083"/>
          <a:ext cx="2554355" cy="394286"/>
        </a:xfrm>
        <a:prstGeom prst="rect">
          <a:avLst/>
        </a:prstGeom>
      </xdr:spPr>
    </xdr:pic>
    <xdr:clientData/>
  </xdr:oneCellAnchor>
  <xdr:oneCellAnchor>
    <xdr:from>
      <xdr:col>27</xdr:col>
      <xdr:colOff>38100</xdr:colOff>
      <xdr:row>8</xdr:row>
      <xdr:rowOff>45720</xdr:rowOff>
    </xdr:from>
    <xdr:ext cx="4199792" cy="760001"/>
    <xdr:pic>
      <xdr:nvPicPr>
        <xdr:cNvPr id="3" name="Bild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174075" y="2179320"/>
          <a:ext cx="4199792" cy="760001"/>
        </a:xfrm>
        <a:prstGeom prst="rect">
          <a:avLst/>
        </a:prstGeom>
      </xdr:spPr>
    </xdr:pic>
    <xdr:clientData/>
  </xdr:oneCellAnchor>
  <xdr:twoCellAnchor>
    <xdr:from>
      <xdr:col>28</xdr:col>
      <xdr:colOff>358140</xdr:colOff>
      <xdr:row>5</xdr:row>
      <xdr:rowOff>220980</xdr:rowOff>
    </xdr:from>
    <xdr:to>
      <xdr:col>31</xdr:col>
      <xdr:colOff>22860</xdr:colOff>
      <xdr:row>16</xdr:row>
      <xdr:rowOff>38100</xdr:rowOff>
    </xdr:to>
    <xdr:sp macro="" textlink="">
      <xdr:nvSpPr>
        <xdr:cNvPr id="6" name="Divisjon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2017990" y="1564005"/>
          <a:ext cx="2912745" cy="2198370"/>
        </a:xfrm>
        <a:prstGeom prst="mathDivide">
          <a:avLst>
            <a:gd name="adj1" fmla="val 11498"/>
            <a:gd name="adj2" fmla="val 5880"/>
            <a:gd name="adj3" fmla="val 10667"/>
          </a:avLst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oneCellAnchor>
    <xdr:from>
      <xdr:col>15</xdr:col>
      <xdr:colOff>1014693</xdr:colOff>
      <xdr:row>20</xdr:row>
      <xdr:rowOff>97492</xdr:rowOff>
    </xdr:from>
    <xdr:ext cx="2021584" cy="377637"/>
    <xdr:pic>
      <xdr:nvPicPr>
        <xdr:cNvPr id="14" name="Bild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1893" y="4750772"/>
          <a:ext cx="2021584" cy="377637"/>
        </a:xfrm>
        <a:prstGeom prst="rect">
          <a:avLst/>
        </a:prstGeom>
      </xdr:spPr>
    </xdr:pic>
    <xdr:clientData/>
  </xdr:oneCellAnchor>
  <xdr:oneCellAnchor>
    <xdr:from>
      <xdr:col>21</xdr:col>
      <xdr:colOff>1014693</xdr:colOff>
      <xdr:row>20</xdr:row>
      <xdr:rowOff>97492</xdr:rowOff>
    </xdr:from>
    <xdr:ext cx="2021584" cy="377637"/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551893" y="4750772"/>
          <a:ext cx="2021584" cy="377637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523875</xdr:colOff>
      <xdr:row>10</xdr:row>
      <xdr:rowOff>63103</xdr:rowOff>
    </xdr:from>
    <xdr:to>
      <xdr:col>4</xdr:col>
      <xdr:colOff>104134</xdr:colOff>
      <xdr:row>15</xdr:row>
      <xdr:rowOff>238646</xdr:rowOff>
    </xdr:to>
    <xdr:pic>
      <xdr:nvPicPr>
        <xdr:cNvPr id="12" name="Bild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96050" y="1529953"/>
          <a:ext cx="3827774" cy="12604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333374</xdr:colOff>
      <xdr:row>6</xdr:row>
      <xdr:rowOff>134961</xdr:rowOff>
    </xdr:from>
    <xdr:to>
      <xdr:col>2</xdr:col>
      <xdr:colOff>3591761</xdr:colOff>
      <xdr:row>8</xdr:row>
      <xdr:rowOff>28425</xdr:rowOff>
    </xdr:to>
    <xdr:pic>
      <xdr:nvPicPr>
        <xdr:cNvPr id="14" name="Bild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b="3473"/>
        <a:stretch/>
      </xdr:blipFill>
      <xdr:spPr>
        <a:xfrm>
          <a:off x="6305549" y="735036"/>
          <a:ext cx="3168217" cy="455589"/>
        </a:xfrm>
        <a:prstGeom prst="rect">
          <a:avLst/>
        </a:prstGeom>
      </xdr:spPr>
    </xdr:pic>
    <xdr:clientData/>
  </xdr:twoCellAnchor>
  <xdr:twoCellAnchor editAs="oneCell">
    <xdr:from>
      <xdr:col>9</xdr:col>
      <xdr:colOff>1534584</xdr:colOff>
      <xdr:row>9</xdr:row>
      <xdr:rowOff>98161</xdr:rowOff>
    </xdr:from>
    <xdr:to>
      <xdr:col>11</xdr:col>
      <xdr:colOff>695125</xdr:colOff>
      <xdr:row>10</xdr:row>
      <xdr:rowOff>125981</xdr:rowOff>
    </xdr:to>
    <xdr:pic>
      <xdr:nvPicPr>
        <xdr:cNvPr id="16" name="Bild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3726584" y="1366347"/>
          <a:ext cx="2215545" cy="230175"/>
        </a:xfrm>
        <a:prstGeom prst="rect">
          <a:avLst/>
        </a:prstGeom>
      </xdr:spPr>
    </xdr:pic>
    <xdr:clientData/>
  </xdr:twoCellAnchor>
  <xdr:twoCellAnchor editAs="oneCell">
    <xdr:from>
      <xdr:col>9</xdr:col>
      <xdr:colOff>685473</xdr:colOff>
      <xdr:row>6</xdr:row>
      <xdr:rowOff>148167</xdr:rowOff>
    </xdr:from>
    <xdr:to>
      <xdr:col>9</xdr:col>
      <xdr:colOff>1374198</xdr:colOff>
      <xdr:row>8</xdr:row>
      <xdr:rowOff>11703</xdr:rowOff>
    </xdr:to>
    <xdr:pic>
      <xdr:nvPicPr>
        <xdr:cNvPr id="18" name="Bild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866890" y="751417"/>
          <a:ext cx="691265" cy="423333"/>
        </a:xfrm>
        <a:prstGeom prst="rect">
          <a:avLst/>
        </a:prstGeom>
      </xdr:spPr>
    </xdr:pic>
    <xdr:clientData/>
  </xdr:twoCellAnchor>
  <xdr:twoCellAnchor>
    <xdr:from>
      <xdr:col>9</xdr:col>
      <xdr:colOff>1110345</xdr:colOff>
      <xdr:row>8</xdr:row>
      <xdr:rowOff>152400</xdr:rowOff>
    </xdr:from>
    <xdr:to>
      <xdr:col>9</xdr:col>
      <xdr:colOff>1513115</xdr:colOff>
      <xdr:row>10</xdr:row>
      <xdr:rowOff>16329</xdr:rowOff>
    </xdr:to>
    <xdr:cxnSp macro="">
      <xdr:nvCxnSpPr>
        <xdr:cNvPr id="20" name="Vinkel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CxnSpPr/>
      </xdr:nvCxnSpPr>
      <xdr:spPr>
        <a:xfrm rot="10800000">
          <a:off x="13302345" y="1219200"/>
          <a:ext cx="402770" cy="266700"/>
        </a:xfrm>
        <a:prstGeom prst="bentConnector3">
          <a:avLst>
            <a:gd name="adj1" fmla="val 100000"/>
          </a:avLst>
        </a:prstGeom>
        <a:ln w="25400">
          <a:solidFill>
            <a:srgbClr val="FF0000"/>
          </a:solidFill>
          <a:headEnd type="none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442174</xdr:colOff>
      <xdr:row>6</xdr:row>
      <xdr:rowOff>95047</xdr:rowOff>
    </xdr:from>
    <xdr:to>
      <xdr:col>16</xdr:col>
      <xdr:colOff>1631204</xdr:colOff>
      <xdr:row>7</xdr:row>
      <xdr:rowOff>41013</xdr:rowOff>
    </xdr:to>
    <xdr:pic>
      <xdr:nvPicPr>
        <xdr:cNvPr id="30" name="Bilde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43674" y="4409312"/>
          <a:ext cx="1182680" cy="241129"/>
        </a:xfrm>
        <a:prstGeom prst="rect">
          <a:avLst/>
        </a:prstGeom>
      </xdr:spPr>
    </xdr:pic>
    <xdr:clientData/>
  </xdr:twoCellAnchor>
  <xdr:twoCellAnchor editAs="oneCell">
    <xdr:from>
      <xdr:col>16</xdr:col>
      <xdr:colOff>347383</xdr:colOff>
      <xdr:row>17</xdr:row>
      <xdr:rowOff>114913</xdr:rowOff>
    </xdr:from>
    <xdr:to>
      <xdr:col>16</xdr:col>
      <xdr:colOff>2095501</xdr:colOff>
      <xdr:row>18</xdr:row>
      <xdr:rowOff>121257</xdr:rowOff>
    </xdr:to>
    <xdr:pic>
      <xdr:nvPicPr>
        <xdr:cNvPr id="34" name="Bilde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7391530" y="809678"/>
          <a:ext cx="1748118" cy="251528"/>
        </a:xfrm>
        <a:prstGeom prst="rect">
          <a:avLst/>
        </a:prstGeom>
      </xdr:spPr>
    </xdr:pic>
    <xdr:clientData/>
  </xdr:twoCellAnchor>
  <xdr:twoCellAnchor editAs="oneCell">
    <xdr:from>
      <xdr:col>16</xdr:col>
      <xdr:colOff>1189112</xdr:colOff>
      <xdr:row>26</xdr:row>
      <xdr:rowOff>179295</xdr:rowOff>
    </xdr:from>
    <xdr:to>
      <xdr:col>16</xdr:col>
      <xdr:colOff>1876463</xdr:colOff>
      <xdr:row>28</xdr:row>
      <xdr:rowOff>145082</xdr:rowOff>
    </xdr:to>
    <xdr:pic>
      <xdr:nvPicPr>
        <xdr:cNvPr id="40" name="Bilde 39">
          <a:extLst>
            <a:ext uri="{FF2B5EF4-FFF2-40B4-BE49-F238E27FC236}">
              <a16:creationId xmlns:a16="http://schemas.microsoft.com/office/drawing/2014/main" id="{00000000-0008-0000-0500-00002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t="1" b="2279"/>
        <a:stretch/>
      </xdr:blipFill>
      <xdr:spPr>
        <a:xfrm>
          <a:off x="18233259" y="4291854"/>
          <a:ext cx="682271" cy="488132"/>
        </a:xfrm>
        <a:prstGeom prst="rect">
          <a:avLst/>
        </a:prstGeom>
      </xdr:spPr>
    </xdr:pic>
    <xdr:clientData/>
  </xdr:twoCellAnchor>
  <xdr:oneCellAnchor>
    <xdr:from>
      <xdr:col>9</xdr:col>
      <xdr:colOff>1534584</xdr:colOff>
      <xdr:row>26</xdr:row>
      <xdr:rowOff>98161</xdr:rowOff>
    </xdr:from>
    <xdr:ext cx="2322617" cy="223774"/>
    <xdr:pic>
      <xdr:nvPicPr>
        <xdr:cNvPr id="10" name="Bild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276043" y="1980749"/>
          <a:ext cx="2322617" cy="223774"/>
        </a:xfrm>
        <a:prstGeom prst="rect">
          <a:avLst/>
        </a:prstGeom>
      </xdr:spPr>
    </xdr:pic>
    <xdr:clientData/>
  </xdr:oneCellAnchor>
  <xdr:oneCellAnchor>
    <xdr:from>
      <xdr:col>9</xdr:col>
      <xdr:colOff>685473</xdr:colOff>
      <xdr:row>23</xdr:row>
      <xdr:rowOff>148167</xdr:rowOff>
    </xdr:from>
    <xdr:ext cx="691265" cy="428313"/>
    <xdr:pic>
      <xdr:nvPicPr>
        <xdr:cNvPr id="11" name="Bild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7426932" y="1268755"/>
          <a:ext cx="691265" cy="428313"/>
        </a:xfrm>
        <a:prstGeom prst="rect">
          <a:avLst/>
        </a:prstGeom>
      </xdr:spPr>
    </xdr:pic>
    <xdr:clientData/>
  </xdr:oneCellAnchor>
  <xdr:twoCellAnchor>
    <xdr:from>
      <xdr:col>9</xdr:col>
      <xdr:colOff>1110345</xdr:colOff>
      <xdr:row>25</xdr:row>
      <xdr:rowOff>152400</xdr:rowOff>
    </xdr:from>
    <xdr:to>
      <xdr:col>9</xdr:col>
      <xdr:colOff>1513115</xdr:colOff>
      <xdr:row>27</xdr:row>
      <xdr:rowOff>16329</xdr:rowOff>
    </xdr:to>
    <xdr:cxnSp macro="">
      <xdr:nvCxnSpPr>
        <xdr:cNvPr id="13" name="Vinkel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CxnSpPr/>
      </xdr:nvCxnSpPr>
      <xdr:spPr>
        <a:xfrm rot="10800000">
          <a:off x="7851804" y="1837765"/>
          <a:ext cx="402770" cy="258376"/>
        </a:xfrm>
        <a:prstGeom prst="bentConnector3">
          <a:avLst>
            <a:gd name="adj1" fmla="val 100000"/>
          </a:avLst>
        </a:prstGeom>
        <a:ln w="25400">
          <a:solidFill>
            <a:srgbClr val="FF0000"/>
          </a:solidFill>
          <a:headEnd type="none"/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133350</xdr:colOff>
      <xdr:row>9</xdr:row>
      <xdr:rowOff>47625</xdr:rowOff>
    </xdr:from>
    <xdr:to>
      <xdr:col>6</xdr:col>
      <xdr:colOff>438150</xdr:colOff>
      <xdr:row>9</xdr:row>
      <xdr:rowOff>93344</xdr:rowOff>
    </xdr:to>
    <xdr:sp macro="" textlink="">
      <xdr:nvSpPr>
        <xdr:cNvPr id="2" name="Pil: høy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6781800" y="4124325"/>
          <a:ext cx="304800" cy="45719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nb-NO" sz="1100"/>
        </a:p>
      </xdr:txBody>
    </xdr:sp>
    <xdr:clientData/>
  </xdr:twoCellAnchor>
  <xdr:twoCellAnchor>
    <xdr:from>
      <xdr:col>2</xdr:col>
      <xdr:colOff>38101</xdr:colOff>
      <xdr:row>1</xdr:row>
      <xdr:rowOff>85725</xdr:rowOff>
    </xdr:from>
    <xdr:to>
      <xdr:col>3</xdr:col>
      <xdr:colOff>1028700</xdr:colOff>
      <xdr:row>4</xdr:row>
      <xdr:rowOff>66675</xdr:rowOff>
    </xdr:to>
    <xdr:sp macro="" textlink="">
      <xdr:nvSpPr>
        <xdr:cNvPr id="17" name="TekstSylinder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SpPr txBox="1"/>
      </xdr:nvSpPr>
      <xdr:spPr>
        <a:xfrm>
          <a:off x="419101" y="238125"/>
          <a:ext cx="1838324" cy="438150"/>
        </a:xfrm>
        <a:prstGeom prst="rect">
          <a:avLst/>
        </a:prstGeom>
        <a:ln/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nb-NO" sz="1400">
              <a:solidFill>
                <a:schemeClr val="bg1"/>
              </a:solidFill>
            </a:rPr>
            <a:t>Tilbake til FORSIDE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18</xdr:col>
      <xdr:colOff>454884</xdr:colOff>
      <xdr:row>1</xdr:row>
      <xdr:rowOff>6350</xdr:rowOff>
    </xdr:from>
    <xdr:to>
      <xdr:col>20</xdr:col>
      <xdr:colOff>278663</xdr:colOff>
      <xdr:row>3</xdr:row>
      <xdr:rowOff>26061</xdr:rowOff>
    </xdr:to>
    <xdr:sp macro="ArkFaneKlikk" textlink="">
      <xdr:nvSpPr>
        <xdr:cNvPr id="50" name="Flik_12">
          <a:extLst>
            <a:ext uri="{FF2B5EF4-FFF2-40B4-BE49-F238E27FC236}">
              <a16:creationId xmlns:a16="http://schemas.microsoft.com/office/drawing/2014/main" id="{00000000-0008-0000-0800-000032000000}"/>
            </a:ext>
          </a:extLst>
        </xdr:cNvPr>
        <xdr:cNvSpPr>
          <a:spLocks/>
        </xdr:cNvSpPr>
      </xdr:nvSpPr>
      <xdr:spPr bwMode="auto">
        <a:xfrm>
          <a:off x="1674072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16</xdr:col>
      <xdr:colOff>45635</xdr:colOff>
      <xdr:row>1</xdr:row>
      <xdr:rowOff>6350</xdr:rowOff>
    </xdr:from>
    <xdr:to>
      <xdr:col>18</xdr:col>
      <xdr:colOff>645384</xdr:colOff>
      <xdr:row>3</xdr:row>
      <xdr:rowOff>26061</xdr:rowOff>
    </xdr:to>
    <xdr:sp macro="ArkFaneKlikk" textlink="">
      <xdr:nvSpPr>
        <xdr:cNvPr id="49" name="Flik_11">
          <a:extLst>
            <a:ext uri="{FF2B5EF4-FFF2-40B4-BE49-F238E27FC236}">
              <a16:creationId xmlns:a16="http://schemas.microsoft.com/office/drawing/2014/main" id="{00000000-0008-0000-0800-000031000000}"/>
            </a:ext>
          </a:extLst>
        </xdr:cNvPr>
        <xdr:cNvSpPr>
          <a:spLocks/>
        </xdr:cNvSpPr>
      </xdr:nvSpPr>
      <xdr:spPr bwMode="auto">
        <a:xfrm>
          <a:off x="1523039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endParaRPr lang="nb-NO" sz="1400" b="1" i="1">
            <a:solidFill>
              <a:srgbClr val="953735">
                <a:lumMod val="75000"/>
              </a:srgbClr>
            </a:solidFill>
            <a:latin typeface="Calibri" panose="020F0502020204030204" pitchFamily="34" charset="0"/>
          </a:endParaRPr>
        </a:p>
      </xdr:txBody>
    </xdr:sp>
    <xdr:clientData/>
  </xdr:twoCellAnchor>
  <xdr:twoCellAnchor editAs="absolute">
    <xdr:from>
      <xdr:col>14</xdr:col>
      <xdr:colOff>392671</xdr:colOff>
      <xdr:row>1</xdr:row>
      <xdr:rowOff>6350</xdr:rowOff>
    </xdr:from>
    <xdr:to>
      <xdr:col>16</xdr:col>
      <xdr:colOff>236135</xdr:colOff>
      <xdr:row>3</xdr:row>
      <xdr:rowOff>26061</xdr:rowOff>
    </xdr:to>
    <xdr:sp macro="ArkFaneKlikk" textlink="">
      <xdr:nvSpPr>
        <xdr:cNvPr id="39" name="Flik_10">
          <a:extLst>
            <a:ext uri="{FF2B5EF4-FFF2-40B4-BE49-F238E27FC236}">
              <a16:creationId xmlns:a16="http://schemas.microsoft.com/office/drawing/2014/main" id="{00000000-0008-0000-0800-000027000000}"/>
            </a:ext>
          </a:extLst>
        </xdr:cNvPr>
        <xdr:cNvSpPr>
          <a:spLocks/>
        </xdr:cNvSpPr>
      </xdr:nvSpPr>
      <xdr:spPr bwMode="auto">
        <a:xfrm>
          <a:off x="13720051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Norske tilpasninger</a:t>
          </a:r>
        </a:p>
      </xdr:txBody>
    </xdr:sp>
    <xdr:clientData/>
  </xdr:twoCellAnchor>
  <xdr:twoCellAnchor editAs="absolute">
    <xdr:from>
      <xdr:col>12</xdr:col>
      <xdr:colOff>770822</xdr:colOff>
      <xdr:row>1</xdr:row>
      <xdr:rowOff>6350</xdr:rowOff>
    </xdr:from>
    <xdr:to>
      <xdr:col>14</xdr:col>
      <xdr:colOff>583171</xdr:colOff>
      <xdr:row>3</xdr:row>
      <xdr:rowOff>26061</xdr:rowOff>
    </xdr:to>
    <xdr:sp macro="ArkFaneKlikk" textlink="">
      <xdr:nvSpPr>
        <xdr:cNvPr id="40" name="Flik_09">
          <a:extLst>
            <a:ext uri="{FF2B5EF4-FFF2-40B4-BE49-F238E27FC236}">
              <a16:creationId xmlns:a16="http://schemas.microsoft.com/office/drawing/2014/main" id="{00000000-0008-0000-0800-000028000000}"/>
            </a:ext>
          </a:extLst>
        </xdr:cNvPr>
        <xdr:cNvSpPr>
          <a:spLocks/>
        </xdr:cNvSpPr>
      </xdr:nvSpPr>
      <xdr:spPr bwMode="auto">
        <a:xfrm>
          <a:off x="12209712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Ferdigdato</a:t>
          </a:r>
        </a:p>
      </xdr:txBody>
    </xdr:sp>
    <xdr:clientData/>
  </xdr:twoCellAnchor>
  <xdr:twoCellAnchor editAs="absolute">
    <xdr:from>
      <xdr:col>9</xdr:col>
      <xdr:colOff>883234</xdr:colOff>
      <xdr:row>1</xdr:row>
      <xdr:rowOff>6350</xdr:rowOff>
    </xdr:from>
    <xdr:to>
      <xdr:col>11</xdr:col>
      <xdr:colOff>316488</xdr:colOff>
      <xdr:row>3</xdr:row>
      <xdr:rowOff>26061</xdr:rowOff>
    </xdr:to>
    <xdr:sp macro="ArkFaneKlikk" textlink="">
      <xdr:nvSpPr>
        <xdr:cNvPr id="42" name="Flik_07">
          <a:extLst>
            <a:ext uri="{FF2B5EF4-FFF2-40B4-BE49-F238E27FC236}">
              <a16:creationId xmlns:a16="http://schemas.microsoft.com/office/drawing/2014/main" id="{00000000-0008-0000-0800-00002A000000}"/>
            </a:ext>
          </a:extLst>
        </xdr:cNvPr>
        <xdr:cNvSpPr>
          <a:spLocks/>
        </xdr:cNvSpPr>
      </xdr:nvSpPr>
      <xdr:spPr bwMode="auto">
        <a:xfrm>
          <a:off x="9189034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Terrengklasser</a:t>
          </a:r>
        </a:p>
      </xdr:txBody>
    </xdr:sp>
    <xdr:clientData/>
  </xdr:twoCellAnchor>
  <xdr:twoCellAnchor editAs="absolute">
    <xdr:from>
      <xdr:col>7</xdr:col>
      <xdr:colOff>657500</xdr:colOff>
      <xdr:row>1</xdr:row>
      <xdr:rowOff>6350</xdr:rowOff>
    </xdr:from>
    <xdr:to>
      <xdr:col>10</xdr:col>
      <xdr:colOff>144094</xdr:colOff>
      <xdr:row>3</xdr:row>
      <xdr:rowOff>26061</xdr:rowOff>
    </xdr:to>
    <xdr:sp macro="ArkFaneKlikk" textlink="">
      <xdr:nvSpPr>
        <xdr:cNvPr id="43" name="Flik_06">
          <a:extLst>
            <a:ext uri="{FF2B5EF4-FFF2-40B4-BE49-F238E27FC236}">
              <a16:creationId xmlns:a16="http://schemas.microsoft.com/office/drawing/2014/main" id="{00000000-0008-0000-0800-00002B000000}"/>
            </a:ext>
          </a:extLst>
        </xdr:cNvPr>
        <xdr:cNvSpPr>
          <a:spLocks/>
        </xdr:cNvSpPr>
      </xdr:nvSpPr>
      <xdr:spPr bwMode="auto">
        <a:xfrm>
          <a:off x="7678695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Help</a:t>
          </a:r>
        </a:p>
      </xdr:txBody>
    </xdr:sp>
    <xdr:clientData/>
  </xdr:twoCellAnchor>
  <xdr:twoCellAnchor editAs="absolute">
    <xdr:from>
      <xdr:col>6</xdr:col>
      <xdr:colOff>297781</xdr:colOff>
      <xdr:row>1</xdr:row>
      <xdr:rowOff>6350</xdr:rowOff>
    </xdr:from>
    <xdr:to>
      <xdr:col>7</xdr:col>
      <xdr:colOff>848000</xdr:colOff>
      <xdr:row>3</xdr:row>
      <xdr:rowOff>26061</xdr:rowOff>
    </xdr:to>
    <xdr:sp macro="ArkFaneKlikk" textlink="">
      <xdr:nvSpPr>
        <xdr:cNvPr id="44" name="Flik_05">
          <a:extLst>
            <a:ext uri="{FF2B5EF4-FFF2-40B4-BE49-F238E27FC236}">
              <a16:creationId xmlns:a16="http://schemas.microsoft.com/office/drawing/2014/main" id="{00000000-0008-0000-0800-00002C000000}"/>
            </a:ext>
          </a:extLst>
        </xdr:cNvPr>
        <xdr:cNvSpPr>
          <a:spLocks/>
        </xdr:cNvSpPr>
      </xdr:nvSpPr>
      <xdr:spPr bwMode="auto">
        <a:xfrm>
          <a:off x="6168356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Lassbærer</a:t>
          </a:r>
        </a:p>
      </xdr:txBody>
    </xdr:sp>
    <xdr:clientData/>
  </xdr:twoCellAnchor>
  <xdr:twoCellAnchor editAs="absolute">
    <xdr:from>
      <xdr:col>4</xdr:col>
      <xdr:colOff>1130592</xdr:colOff>
      <xdr:row>1</xdr:row>
      <xdr:rowOff>6350</xdr:rowOff>
    </xdr:from>
    <xdr:to>
      <xdr:col>6</xdr:col>
      <xdr:colOff>502251</xdr:colOff>
      <xdr:row>3</xdr:row>
      <xdr:rowOff>26061</xdr:rowOff>
    </xdr:to>
    <xdr:sp macro="ArkFaneKlikk" textlink="">
      <xdr:nvSpPr>
        <xdr:cNvPr id="45" name="Flik_04">
          <a:extLst>
            <a:ext uri="{FF2B5EF4-FFF2-40B4-BE49-F238E27FC236}">
              <a16:creationId xmlns:a16="http://schemas.microsoft.com/office/drawing/2014/main" id="{00000000-0008-0000-0800-00002D000000}"/>
            </a:ext>
          </a:extLst>
        </xdr:cNvPr>
        <xdr:cNvSpPr>
          <a:spLocks/>
        </xdr:cNvSpPr>
      </xdr:nvSpPr>
      <xdr:spPr bwMode="auto">
        <a:xfrm>
          <a:off x="4658017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Hogstmaskin</a:t>
          </a:r>
        </a:p>
      </xdr:txBody>
    </xdr:sp>
    <xdr:clientData/>
  </xdr:twoCellAnchor>
  <xdr:twoCellAnchor editAs="absolute">
    <xdr:from>
      <xdr:col>3</xdr:col>
      <xdr:colOff>759443</xdr:colOff>
      <xdr:row>1</xdr:row>
      <xdr:rowOff>6350</xdr:rowOff>
    </xdr:from>
    <xdr:to>
      <xdr:col>5</xdr:col>
      <xdr:colOff>142532</xdr:colOff>
      <xdr:row>3</xdr:row>
      <xdr:rowOff>26061</xdr:rowOff>
    </xdr:to>
    <xdr:sp macro="ArkFaneKlikk" textlink="">
      <xdr:nvSpPr>
        <xdr:cNvPr id="46" name="Flik_03">
          <a:extLst>
            <a:ext uri="{FF2B5EF4-FFF2-40B4-BE49-F238E27FC236}">
              <a16:creationId xmlns:a16="http://schemas.microsoft.com/office/drawing/2014/main" id="{00000000-0008-0000-0800-00002E000000}"/>
            </a:ext>
          </a:extLst>
        </xdr:cNvPr>
        <xdr:cNvSpPr>
          <a:spLocks/>
        </xdr:cNvSpPr>
      </xdr:nvSpPr>
      <xdr:spPr bwMode="auto">
        <a:xfrm>
          <a:off x="3147678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Prod normer</a:t>
          </a:r>
        </a:p>
      </xdr:txBody>
    </xdr:sp>
    <xdr:clientData/>
  </xdr:twoCellAnchor>
  <xdr:twoCellAnchor editAs="absolute">
    <xdr:from>
      <xdr:col>2</xdr:col>
      <xdr:colOff>581334</xdr:colOff>
      <xdr:row>1</xdr:row>
      <xdr:rowOff>6350</xdr:rowOff>
    </xdr:from>
    <xdr:to>
      <xdr:col>3</xdr:col>
      <xdr:colOff>982963</xdr:colOff>
      <xdr:row>3</xdr:row>
      <xdr:rowOff>26061</xdr:rowOff>
    </xdr:to>
    <xdr:sp macro="ArkFaneKlikk" textlink="">
      <xdr:nvSpPr>
        <xdr:cNvPr id="47" name="Flik_02">
          <a:extLst>
            <a:ext uri="{FF2B5EF4-FFF2-40B4-BE49-F238E27FC236}">
              <a16:creationId xmlns:a16="http://schemas.microsoft.com/office/drawing/2014/main" id="{00000000-0008-0000-0800-00002F000000}"/>
            </a:ext>
          </a:extLst>
        </xdr:cNvPr>
        <xdr:cNvSpPr>
          <a:spLocks/>
        </xdr:cNvSpPr>
      </xdr:nvSpPr>
      <xdr:spPr bwMode="auto">
        <a:xfrm>
          <a:off x="1637339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Dashbord</a:t>
          </a:r>
        </a:p>
      </xdr:txBody>
    </xdr:sp>
    <xdr:clientData/>
  </xdr:twoCellAnchor>
  <xdr:twoCellAnchor editAs="absolute">
    <xdr:from>
      <xdr:col>1</xdr:col>
      <xdr:colOff>2540</xdr:colOff>
      <xdr:row>1</xdr:row>
      <xdr:rowOff>6350</xdr:rowOff>
    </xdr:from>
    <xdr:to>
      <xdr:col>2</xdr:col>
      <xdr:colOff>771834</xdr:colOff>
      <xdr:row>3</xdr:row>
      <xdr:rowOff>26061</xdr:rowOff>
    </xdr:to>
    <xdr:sp macro="ArkFaneKlikk" textlink="">
      <xdr:nvSpPr>
        <xdr:cNvPr id="48" name="Flik_01">
          <a:extLst>
            <a:ext uri="{FF2B5EF4-FFF2-40B4-BE49-F238E27FC236}">
              <a16:creationId xmlns:a16="http://schemas.microsoft.com/office/drawing/2014/main" id="{00000000-0008-0000-0800-000030000000}"/>
            </a:ext>
          </a:extLst>
        </xdr:cNvPr>
        <xdr:cNvSpPr>
          <a:spLocks/>
        </xdr:cNvSpPr>
      </xdr:nvSpPr>
      <xdr:spPr bwMode="auto">
        <a:xfrm>
          <a:off x="127000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DDD9C3">
            <a:lumMod val="9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1" baseline="0">
              <a:solidFill>
                <a:srgbClr val="953735">
                  <a:lumMod val="75000"/>
                </a:srgbClr>
              </a:solidFill>
              <a:latin typeface="Calibri" panose="020F0502020204030204" pitchFamily="34" charset="0"/>
            </a:rPr>
            <a:t>Forside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30480</xdr:colOff>
          <xdr:row>19</xdr:row>
          <xdr:rowOff>7620</xdr:rowOff>
        </xdr:from>
        <xdr:to>
          <xdr:col>3</xdr:col>
          <xdr:colOff>510540</xdr:colOff>
          <xdr:row>22</xdr:row>
          <xdr:rowOff>137160</xdr:rowOff>
        </xdr:to>
        <xdr:sp macro="" textlink="">
          <xdr:nvSpPr>
            <xdr:cNvPr id="5121" name="cmdLagreObjPos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8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3</xdr:col>
      <xdr:colOff>802966</xdr:colOff>
      <xdr:row>6</xdr:row>
      <xdr:rowOff>102452</xdr:rowOff>
    </xdr:from>
    <xdr:to>
      <xdr:col>5</xdr:col>
      <xdr:colOff>179705</xdr:colOff>
      <xdr:row>8</xdr:row>
      <xdr:rowOff>123433</xdr:rowOff>
    </xdr:to>
    <xdr:sp macro="" textlink="">
      <xdr:nvSpPr>
        <xdr:cNvPr id="30" name="Flik_MenyPassiv">
          <a:extLst>
            <a:ext uri="{FF2B5EF4-FFF2-40B4-BE49-F238E27FC236}">
              <a16:creationId xmlns:a16="http://schemas.microsoft.com/office/drawing/2014/main" id="{00000000-0008-0000-0800-00001E000000}"/>
            </a:ext>
          </a:extLst>
        </xdr:cNvPr>
        <xdr:cNvSpPr>
          <a:spLocks/>
        </xdr:cNvSpPr>
      </xdr:nvSpPr>
      <xdr:spPr bwMode="auto">
        <a:xfrm>
          <a:off x="3198186" y="1086702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2">
            <a:lumMod val="90000"/>
          </a:scheme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 anchor="ctr" anchorCtr="0"/>
        <a:lstStyle/>
        <a:p>
          <a:pPr algn="ctr"/>
          <a:r>
            <a:rPr lang="nb-NO" sz="1400" b="1" i="1">
              <a:solidFill>
                <a:schemeClr val="accent2">
                  <a:lumMod val="75000"/>
                </a:schemeClr>
              </a:solidFill>
            </a:rPr>
            <a:t>sdfsdfsdf</a:t>
          </a:r>
        </a:p>
      </xdr:txBody>
    </xdr:sp>
    <xdr:clientData/>
  </xdr:twoCellAnchor>
  <xdr:twoCellAnchor editAs="absolute">
    <xdr:from>
      <xdr:col>3</xdr:col>
      <xdr:colOff>773756</xdr:colOff>
      <xdr:row>4</xdr:row>
      <xdr:rowOff>35142</xdr:rowOff>
    </xdr:from>
    <xdr:to>
      <xdr:col>5</xdr:col>
      <xdr:colOff>149225</xdr:colOff>
      <xdr:row>5</xdr:row>
      <xdr:rowOff>162803</xdr:rowOff>
    </xdr:to>
    <xdr:sp macro="" textlink="">
      <xdr:nvSpPr>
        <xdr:cNvPr id="31" name="Flik_MenyAktiv">
          <a:extLst>
            <a:ext uri="{FF2B5EF4-FFF2-40B4-BE49-F238E27FC236}">
              <a16:creationId xmlns:a16="http://schemas.microsoft.com/office/drawing/2014/main" id="{00000000-0008-0000-0800-00001F000000}"/>
            </a:ext>
          </a:extLst>
        </xdr:cNvPr>
        <xdr:cNvSpPr>
          <a:spLocks/>
        </xdr:cNvSpPr>
      </xdr:nvSpPr>
      <xdr:spPr bwMode="auto">
        <a:xfrm>
          <a:off x="3166436" y="635852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chemeClr val="bg1"/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 anchor="ctr" anchorCtr="0"/>
        <a:lstStyle/>
        <a:p>
          <a:pPr algn="ctr"/>
          <a:r>
            <a:rPr lang="nb-NO" sz="1400" b="1" i="0">
              <a:solidFill>
                <a:schemeClr val="accent1">
                  <a:lumMod val="75000"/>
                </a:schemeClr>
              </a:solidFill>
            </a:rPr>
            <a:t>sdfsdfsdf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19</xdr:row>
          <xdr:rowOff>68580</xdr:rowOff>
        </xdr:from>
        <xdr:to>
          <xdr:col>10</xdr:col>
          <xdr:colOff>1112520</xdr:colOff>
          <xdr:row>21</xdr:row>
          <xdr:rowOff>137160</xdr:rowOff>
        </xdr:to>
        <xdr:sp macro="" textlink="">
          <xdr:nvSpPr>
            <xdr:cNvPr id="5122" name="cmdLagFliker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8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absolute">
    <xdr:from>
      <xdr:col>11</xdr:col>
      <xdr:colOff>125988</xdr:colOff>
      <xdr:row>1</xdr:row>
      <xdr:rowOff>6350</xdr:rowOff>
    </xdr:from>
    <xdr:to>
      <xdr:col>12</xdr:col>
      <xdr:colOff>961322</xdr:colOff>
      <xdr:row>3</xdr:row>
      <xdr:rowOff>26061</xdr:rowOff>
    </xdr:to>
    <xdr:sp macro="ArkFaneKlikk" textlink="">
      <xdr:nvSpPr>
        <xdr:cNvPr id="41" name="Flik_08">
          <a:extLst>
            <a:ext uri="{FF2B5EF4-FFF2-40B4-BE49-F238E27FC236}">
              <a16:creationId xmlns:a16="http://schemas.microsoft.com/office/drawing/2014/main" id="{00000000-0008-0000-0800-000029000000}"/>
            </a:ext>
          </a:extLst>
        </xdr:cNvPr>
        <xdr:cNvSpPr>
          <a:spLocks/>
        </xdr:cNvSpPr>
      </xdr:nvSpPr>
      <xdr:spPr bwMode="auto">
        <a:xfrm>
          <a:off x="10699373" y="165100"/>
          <a:ext cx="1700839" cy="318161"/>
        </a:xfrm>
        <a:custGeom>
          <a:avLst/>
          <a:gdLst>
            <a:gd name="T0" fmla="*/ 111 w 777"/>
            <a:gd name="T1" fmla="*/ 0 h 159"/>
            <a:gd name="T2" fmla="*/ 666 w 777"/>
            <a:gd name="T3" fmla="*/ 0 h 159"/>
            <a:gd name="T4" fmla="*/ 675 w 777"/>
            <a:gd name="T5" fmla="*/ 3 h 159"/>
            <a:gd name="T6" fmla="*/ 683 w 777"/>
            <a:gd name="T7" fmla="*/ 7 h 159"/>
            <a:gd name="T8" fmla="*/ 689 w 777"/>
            <a:gd name="T9" fmla="*/ 13 h 159"/>
            <a:gd name="T10" fmla="*/ 777 w 777"/>
            <a:gd name="T11" fmla="*/ 159 h 159"/>
            <a:gd name="T12" fmla="*/ 0 w 777"/>
            <a:gd name="T13" fmla="*/ 159 h 159"/>
            <a:gd name="T14" fmla="*/ 88 w 777"/>
            <a:gd name="T15" fmla="*/ 13 h 159"/>
            <a:gd name="T16" fmla="*/ 95 w 777"/>
            <a:gd name="T17" fmla="*/ 7 h 159"/>
            <a:gd name="T18" fmla="*/ 103 w 777"/>
            <a:gd name="T19" fmla="*/ 3 h 159"/>
            <a:gd name="T20" fmla="*/ 111 w 777"/>
            <a:gd name="T21" fmla="*/ 0 h 159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</a:cxnLst>
          <a:rect l="0" t="0" r="r" b="b"/>
          <a:pathLst>
            <a:path w="777" h="159">
              <a:moveTo>
                <a:pt x="111" y="0"/>
              </a:moveTo>
              <a:lnTo>
                <a:pt x="666" y="0"/>
              </a:lnTo>
              <a:lnTo>
                <a:pt x="675" y="3"/>
              </a:lnTo>
              <a:lnTo>
                <a:pt x="683" y="7"/>
              </a:lnTo>
              <a:lnTo>
                <a:pt x="689" y="13"/>
              </a:lnTo>
              <a:lnTo>
                <a:pt x="777" y="159"/>
              </a:lnTo>
              <a:lnTo>
                <a:pt x="0" y="159"/>
              </a:lnTo>
              <a:lnTo>
                <a:pt x="88" y="13"/>
              </a:lnTo>
              <a:lnTo>
                <a:pt x="95" y="7"/>
              </a:lnTo>
              <a:lnTo>
                <a:pt x="103" y="3"/>
              </a:lnTo>
              <a:lnTo>
                <a:pt x="111" y="0"/>
              </a:lnTo>
              <a:close/>
            </a:path>
          </a:pathLst>
        </a:custGeom>
        <a:solidFill>
          <a:srgbClr val="FFFFFF">
            <a:lumMod val="100000"/>
          </a:srgbClr>
        </a:solidFill>
        <a:ln w="0">
          <a:noFill/>
          <a:prstDash val="solid"/>
          <a:round/>
          <a:headEnd/>
          <a:tailEnd/>
        </a:ln>
        <a:effectLst>
          <a:outerShdw blurRad="50800" dist="38100" dir="16200000" rotWithShape="0">
            <a:prstClr val="black">
              <a:alpha val="40000"/>
            </a:prstClr>
          </a:outerShdw>
        </a:effectLst>
      </xdr:spPr>
      <xdr:txBody>
        <a:bodyPr/>
        <a:lstStyle/>
        <a:p>
          <a:pPr algn="ctr"/>
          <a:r>
            <a:rPr lang="nb-NO" sz="1400" b="1" i="0">
              <a:solidFill>
                <a:srgbClr val="376092">
                  <a:lumMod val="75000"/>
                </a:srgbClr>
              </a:solidFill>
              <a:latin typeface="Calibri" panose="020F0502020204030204" pitchFamily="34" charset="0"/>
            </a:rPr>
            <a:t>Menyoppsett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Mikael\Documents\SKOGKURS\Excel-Mal%20T&#216;F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mentbord"/>
      <sheetName val="Dataregistrering"/>
      <sheetName val="BMI-info"/>
    </sheetNames>
    <sheetDataSet>
      <sheetData sheetId="0">
        <row r="18">
          <cell r="G18">
            <v>30</v>
          </cell>
        </row>
      </sheetData>
      <sheetData sheetId="1">
        <row r="6">
          <cell r="C6" t="str">
            <v>VEKT</v>
          </cell>
        </row>
        <row r="7">
          <cell r="C7">
            <v>205</v>
          </cell>
        </row>
        <row r="8">
          <cell r="C8">
            <v>203</v>
          </cell>
        </row>
        <row r="9">
          <cell r="C9">
            <v>202</v>
          </cell>
        </row>
        <row r="10">
          <cell r="C10">
            <v>202</v>
          </cell>
        </row>
        <row r="11">
          <cell r="C11">
            <v>201</v>
          </cell>
        </row>
        <row r="12">
          <cell r="C12">
            <v>200</v>
          </cell>
        </row>
        <row r="13">
          <cell r="C13">
            <v>202</v>
          </cell>
        </row>
        <row r="14">
          <cell r="C14">
            <v>200</v>
          </cell>
        </row>
        <row r="15">
          <cell r="C15">
            <v>199</v>
          </cell>
        </row>
        <row r="16">
          <cell r="C16">
            <v>197</v>
          </cell>
        </row>
        <row r="17">
          <cell r="C17">
            <v>195</v>
          </cell>
        </row>
        <row r="18">
          <cell r="C18">
            <v>196</v>
          </cell>
        </row>
        <row r="19">
          <cell r="C19">
            <v>194</v>
          </cell>
        </row>
        <row r="20">
          <cell r="C20">
            <v>192</v>
          </cell>
        </row>
        <row r="21">
          <cell r="C21">
            <v>199</v>
          </cell>
        </row>
      </sheetData>
      <sheetData sheetId="2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ell2" displayName="Tabell2" ref="B6:C11" totalsRowShown="0">
  <autoFilter ref="B6:C11" xr:uid="{00000000-0009-0000-0100-000002000000}"/>
  <tableColumns count="2">
    <tableColumn id="1" xr3:uid="{00000000-0010-0000-0000-000001000000}" name="Y = overflatestruktur klasser"/>
    <tableColumn id="2" xr3:uid="{00000000-0010-0000-0000-000002000000}" name="Kjøreforhold" dataDxfId="13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abell3" displayName="Tabell3" ref="F6:G11" totalsRowShown="0">
  <autoFilter ref="F6:G11" xr:uid="{00000000-0009-0000-0100-000003000000}"/>
  <tableColumns count="2">
    <tableColumn id="1" xr3:uid="{00000000-0010-0000-0100-000001000000}" name="L = helningsklasser"/>
    <tableColumn id="2" xr3:uid="{00000000-0010-0000-0100-000002000000}" name="% helning" dataDxfId="12"/>
  </tableColumns>
  <tableStyleInfo name="TableStyleMedium1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Tabell36" displayName="Tabell36" ref="I6:J9" totalsRowShown="0" headerRowDxfId="11" dataDxfId="10">
  <autoFilter ref="I6:J9" xr:uid="{00000000-0009-0000-0100-000005000000}"/>
  <tableColumns count="2">
    <tableColumn id="1" xr3:uid="{00000000-0010-0000-0200-000001000000}" name="Øvrig tid i                          cmin" dataDxfId="9"/>
    <tableColumn id="3" xr3:uid="{00000000-0010-0000-0200-000003000000}" name="Øvrig tid i sekund" dataDxfId="8">
      <calculatedColumnFormula>I7*100/60</calculatedColumnFormula>
    </tableColumn>
  </tableColumns>
  <tableStyleInfo name="TableStyleMedium1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ell37" displayName="Tabell37" ref="F14:G20" totalsRowShown="0">
  <autoFilter ref="F14:G20" xr:uid="{00000000-0009-0000-0100-000006000000}"/>
  <tableColumns count="2">
    <tableColumn id="1" xr3:uid="{00000000-0010-0000-0300-000001000000}" name="K2 = Kostant etter lassbærerstørrelse"/>
    <tableColumn id="2" xr3:uid="{00000000-0010-0000-0300-000002000000}" name="Maskinstør-relse" dataDxfId="7"/>
  </tableColumns>
  <tableStyleInfo name="TableStyleMedium1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ell369" displayName="Tabell369" ref="I14:K16" totalsRowShown="0" headerRowDxfId="6" dataDxfId="5">
  <autoFilter ref="I14:K16" xr:uid="{00000000-0009-0000-0100-000008000000}"/>
  <tableColumns count="3">
    <tableColumn id="1" xr3:uid="{00000000-0010-0000-0400-000001000000}" name="T4 variabler" dataDxfId="4"/>
    <tableColumn id="3" xr3:uid="{00000000-0010-0000-0400-000003000000}" name="a" dataDxfId="3">
      <calculatedColumnFormula>I15*100/60</calculatedColumnFormula>
    </tableColumn>
    <tableColumn id="4" xr3:uid="{00000000-0010-0000-0400-000004000000}" name="b" dataDxfId="2"/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http://www.skogoglandskap.no/filearchive/rapport_14_13_prosjektrapport_klimatre_energiforbruk_og_kostnader_skog_og_bioenergi.pdf" TargetMode="External"/><Relationship Id="rId1" Type="http://schemas.openxmlformats.org/officeDocument/2006/relationships/hyperlink" Target="https://www.skogforsk.se/kunskap/kunskapsbanken/2007/Underlag-for-produktionsnormer-for-extra-stora-engrepsskordare-i-slutavverkning/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10" Type="http://schemas.openxmlformats.org/officeDocument/2006/relationships/comments" Target="../comments1.xml"/><Relationship Id="rId4" Type="http://schemas.openxmlformats.org/officeDocument/2006/relationships/drawing" Target="../drawings/drawing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9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5" Type="http://schemas.openxmlformats.org/officeDocument/2006/relationships/image" Target="../media/image28.emf"/><Relationship Id="rId4" Type="http://schemas.openxmlformats.org/officeDocument/2006/relationships/control" Target="../activeX/activeX1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sForside">
    <pageSetUpPr fitToPage="1"/>
  </sheetPr>
  <dimension ref="A1:W62"/>
  <sheetViews>
    <sheetView showRowColHeaders="0" tabSelected="1" topLeftCell="A12" zoomScale="81" zoomScaleNormal="81" workbookViewId="0">
      <selection activeCell="M40" sqref="M40"/>
    </sheetView>
  </sheetViews>
  <sheetFormatPr baseColWidth="10" defaultColWidth="0" defaultRowHeight="13.8" zeroHeight="1"/>
  <cols>
    <col min="1" max="1" width="1.59765625" style="193" customWidth="1"/>
    <col min="2" max="2" width="2.8984375" style="193" customWidth="1"/>
    <col min="3" max="3" width="4.8984375" style="193" customWidth="1"/>
    <col min="4" max="4" width="17.8984375" style="193" customWidth="1"/>
    <col min="5" max="5" width="17.59765625" style="193" customWidth="1"/>
    <col min="6" max="6" width="4.59765625" style="193" customWidth="1"/>
    <col min="7" max="7" width="15.59765625" style="193" customWidth="1"/>
    <col min="8" max="8" width="10.59765625" style="193" customWidth="1"/>
    <col min="9" max="9" width="14" style="193" customWidth="1"/>
    <col min="10" max="10" width="19.59765625" style="193" customWidth="1"/>
    <col min="11" max="11" width="14.8984375" style="193" customWidth="1"/>
    <col min="12" max="12" width="4.59765625" style="193" customWidth="1"/>
    <col min="13" max="13" width="15.59765625" style="193" customWidth="1"/>
    <col min="14" max="14" width="10.59765625" style="193" customWidth="1"/>
    <col min="15" max="15" width="4.3984375" style="193" customWidth="1"/>
    <col min="16" max="16" width="10.59765625" style="193" customWidth="1"/>
    <col min="17" max="18" width="1.59765625" style="193" customWidth="1"/>
    <col min="19" max="23" width="9" style="193" hidden="1"/>
    <col min="24" max="16384" width="11.09765625" style="193" hidden="1"/>
  </cols>
  <sheetData>
    <row r="1" spans="1:23" s="281" customFormat="1" ht="12" customHeight="1">
      <c r="A1" s="452"/>
    </row>
    <row r="2" spans="1:23" s="281" customFormat="1" ht="12" customHeight="1"/>
    <row r="3" spans="1:23" s="281" customFormat="1" ht="12" customHeight="1"/>
    <row r="4" spans="1:23" s="274" customFormat="1">
      <c r="A4" s="280"/>
      <c r="B4" s="280"/>
      <c r="C4" s="280"/>
      <c r="D4" s="280"/>
      <c r="E4" s="280"/>
      <c r="F4" s="280"/>
      <c r="G4" s="280"/>
      <c r="H4" s="280"/>
      <c r="I4" s="280"/>
      <c r="J4" s="280"/>
      <c r="K4" s="280"/>
      <c r="L4" s="280"/>
      <c r="M4" s="280"/>
      <c r="N4" s="280"/>
      <c r="O4" s="280"/>
      <c r="P4" s="280"/>
      <c r="Q4" s="280"/>
      <c r="R4" s="280"/>
    </row>
    <row r="5" spans="1:23" s="274" customFormat="1" ht="47.25" customHeight="1">
      <c r="A5" s="273"/>
      <c r="B5" s="275"/>
      <c r="C5" s="275"/>
      <c r="D5" s="276" t="s">
        <v>344</v>
      </c>
      <c r="E5" s="275"/>
      <c r="F5" s="275"/>
      <c r="G5" s="275"/>
      <c r="H5" s="275"/>
      <c r="I5" s="275"/>
      <c r="J5" s="275"/>
      <c r="K5" s="275"/>
      <c r="L5" s="511" t="s">
        <v>479</v>
      </c>
      <c r="M5" s="511"/>
      <c r="N5" s="511"/>
      <c r="O5" s="512" t="s">
        <v>480</v>
      </c>
      <c r="P5" s="512"/>
      <c r="Q5" s="273"/>
      <c r="R5" s="273"/>
    </row>
    <row r="6" spans="1:23" s="274" customFormat="1" ht="12" customHeight="1">
      <c r="A6" s="273"/>
      <c r="B6" s="277"/>
      <c r="C6" s="275"/>
      <c r="D6" s="278"/>
      <c r="E6" s="278"/>
      <c r="F6" s="278"/>
      <c r="G6" s="278"/>
      <c r="H6" s="278"/>
      <c r="I6" s="278"/>
      <c r="J6" s="278"/>
      <c r="K6" s="277"/>
      <c r="L6" s="511"/>
      <c r="M6" s="511"/>
      <c r="N6" s="511"/>
      <c r="O6" s="512"/>
      <c r="P6" s="512"/>
      <c r="Q6" s="279"/>
      <c r="R6" s="279"/>
    </row>
    <row r="7" spans="1:23" s="420" customFormat="1" ht="3.75" customHeight="1"/>
    <row r="8" spans="1:23" s="274" customFormat="1" ht="14.4" thickBot="1">
      <c r="A8" s="421"/>
      <c r="B8" s="421"/>
      <c r="C8" s="421"/>
      <c r="D8" s="421"/>
      <c r="E8" s="421"/>
      <c r="F8" s="421"/>
      <c r="G8" s="421"/>
      <c r="H8" s="421"/>
      <c r="I8" s="421"/>
      <c r="J8" s="421"/>
      <c r="K8" s="421"/>
      <c r="L8" s="421"/>
      <c r="M8" s="421"/>
      <c r="N8" s="421"/>
      <c r="O8" s="421"/>
      <c r="P8" s="421"/>
      <c r="Q8" s="421"/>
      <c r="R8" s="421"/>
    </row>
    <row r="9" spans="1:23" s="274" customFormat="1" ht="45.9" customHeight="1">
      <c r="A9" s="421"/>
      <c r="B9" s="422"/>
      <c r="C9" s="423" t="s">
        <v>367</v>
      </c>
      <c r="D9" s="424"/>
      <c r="E9" s="424"/>
      <c r="F9" s="424"/>
      <c r="G9" s="424"/>
      <c r="H9" s="424"/>
      <c r="I9" s="424"/>
      <c r="J9" s="424"/>
      <c r="K9" s="424"/>
      <c r="L9" s="424"/>
      <c r="M9" s="424"/>
      <c r="N9" s="424"/>
      <c r="O9" s="424"/>
      <c r="P9" s="424"/>
      <c r="Q9" s="425"/>
      <c r="R9" s="421"/>
    </row>
    <row r="10" spans="1:23" s="274" customFormat="1">
      <c r="A10" s="421"/>
      <c r="B10" s="426"/>
      <c r="C10" s="427"/>
      <c r="D10" s="427"/>
      <c r="E10" s="427"/>
      <c r="F10" s="427"/>
      <c r="G10" s="427"/>
      <c r="H10" s="427"/>
      <c r="I10" s="427"/>
      <c r="J10" s="427"/>
      <c r="K10" s="427"/>
      <c r="L10" s="427"/>
      <c r="M10" s="427"/>
      <c r="N10" s="427"/>
      <c r="O10" s="427"/>
      <c r="P10" s="427"/>
      <c r="Q10" s="428"/>
      <c r="R10" s="421"/>
    </row>
    <row r="11" spans="1:23" s="274" customFormat="1" ht="15" customHeight="1">
      <c r="A11" s="421"/>
      <c r="B11" s="426"/>
      <c r="C11" s="509" t="s">
        <v>375</v>
      </c>
      <c r="D11" s="509"/>
      <c r="E11" s="509"/>
      <c r="F11" s="509"/>
      <c r="G11" s="509"/>
      <c r="H11" s="509"/>
      <c r="I11" s="509"/>
      <c r="J11" s="509"/>
      <c r="K11" s="509"/>
      <c r="L11" s="509"/>
      <c r="M11" s="509"/>
      <c r="N11" s="509"/>
      <c r="O11" s="509"/>
      <c r="P11" s="509"/>
      <c r="Q11" s="429"/>
      <c r="R11" s="421"/>
    </row>
    <row r="12" spans="1:23" s="274" customFormat="1" ht="15" customHeight="1">
      <c r="A12" s="421"/>
      <c r="B12" s="426"/>
      <c r="C12" s="508" t="s">
        <v>336</v>
      </c>
      <c r="D12" s="508"/>
      <c r="E12" s="508"/>
      <c r="F12" s="430"/>
      <c r="G12" s="430"/>
      <c r="H12" s="430"/>
      <c r="I12" s="430"/>
      <c r="J12" s="430"/>
      <c r="K12" s="430"/>
      <c r="L12" s="430"/>
      <c r="M12" s="430"/>
      <c r="N12" s="430"/>
      <c r="O12" s="430"/>
      <c r="P12" s="430"/>
      <c r="Q12" s="429"/>
      <c r="R12" s="421"/>
    </row>
    <row r="13" spans="1:23" s="274" customFormat="1" ht="15" customHeight="1">
      <c r="A13" s="421"/>
      <c r="B13" s="426"/>
      <c r="C13" s="508" t="s">
        <v>337</v>
      </c>
      <c r="D13" s="508"/>
      <c r="E13" s="508"/>
      <c r="F13" s="430"/>
      <c r="G13" s="430"/>
      <c r="H13" s="430"/>
      <c r="I13" s="430"/>
      <c r="J13" s="430"/>
      <c r="K13" s="430"/>
      <c r="L13" s="430"/>
      <c r="M13" s="430"/>
      <c r="N13" s="430"/>
      <c r="O13" s="430"/>
      <c r="P13" s="430"/>
      <c r="Q13" s="429"/>
      <c r="R13" s="421"/>
      <c r="U13" s="435"/>
    </row>
    <row r="14" spans="1:23" s="274" customFormat="1" ht="23.4" customHeight="1">
      <c r="A14" s="421"/>
      <c r="B14" s="426"/>
      <c r="C14" s="508" t="s">
        <v>338</v>
      </c>
      <c r="D14" s="508"/>
      <c r="E14" s="508"/>
      <c r="F14" s="508"/>
      <c r="G14" s="508"/>
      <c r="H14" s="508"/>
      <c r="I14" s="508"/>
      <c r="J14" s="508"/>
      <c r="K14" s="508"/>
      <c r="L14" s="430"/>
      <c r="M14" s="430"/>
      <c r="N14" s="430"/>
      <c r="O14" s="430"/>
      <c r="P14" s="430"/>
      <c r="Q14" s="429"/>
      <c r="R14" s="421"/>
    </row>
    <row r="15" spans="1:23" s="274" customFormat="1" ht="14.4" thickBot="1">
      <c r="A15" s="421"/>
      <c r="B15" s="426"/>
      <c r="C15" s="431"/>
      <c r="D15" s="432"/>
      <c r="E15" s="432"/>
      <c r="F15" s="432"/>
      <c r="G15" s="432"/>
      <c r="H15" s="432"/>
      <c r="I15" s="432"/>
      <c r="J15" s="432"/>
      <c r="K15" s="432"/>
      <c r="L15" s="432"/>
      <c r="M15" s="432"/>
      <c r="N15" s="432"/>
      <c r="O15" s="432"/>
      <c r="P15" s="431"/>
      <c r="Q15" s="429"/>
      <c r="R15" s="421"/>
      <c r="V15" s="451"/>
      <c r="W15" s="433"/>
    </row>
    <row r="16" spans="1:23" s="274" customFormat="1" ht="21.9" customHeight="1">
      <c r="A16" s="421"/>
      <c r="B16" s="426"/>
      <c r="C16" s="516"/>
      <c r="D16" s="516"/>
      <c r="E16" s="516"/>
      <c r="F16" s="516"/>
      <c r="G16" s="516"/>
      <c r="H16" s="516"/>
      <c r="I16" s="516"/>
      <c r="J16" s="516"/>
      <c r="K16" s="516"/>
      <c r="L16" s="516"/>
      <c r="M16" s="516"/>
      <c r="N16" s="516"/>
      <c r="O16" s="516"/>
      <c r="P16" s="516"/>
      <c r="Q16" s="434"/>
      <c r="R16" s="421"/>
    </row>
    <row r="17" spans="1:23" s="274" customFormat="1" ht="21.9" customHeight="1">
      <c r="A17" s="421"/>
      <c r="B17" s="426"/>
      <c r="C17" s="431"/>
      <c r="D17" s="431"/>
      <c r="E17" s="431"/>
      <c r="F17" s="431"/>
      <c r="G17" s="431"/>
      <c r="H17" s="431"/>
      <c r="I17" s="431"/>
      <c r="J17" s="431"/>
      <c r="K17" s="431"/>
      <c r="L17" s="431"/>
      <c r="M17" s="431"/>
      <c r="N17" s="431"/>
      <c r="O17" s="431"/>
      <c r="P17" s="431"/>
      <c r="Q17" s="434"/>
      <c r="R17" s="421"/>
    </row>
    <row r="18" spans="1:23" s="274" customFormat="1" ht="21.9" customHeight="1">
      <c r="A18" s="421"/>
      <c r="B18" s="426"/>
      <c r="C18" s="431"/>
      <c r="D18" s="431"/>
      <c r="E18" s="431"/>
      <c r="F18" s="431"/>
      <c r="G18" s="431"/>
      <c r="H18" s="431"/>
      <c r="I18" s="431"/>
      <c r="J18" s="431"/>
      <c r="K18" s="431"/>
      <c r="L18" s="431"/>
      <c r="M18" s="431"/>
      <c r="N18" s="431"/>
      <c r="O18" s="431"/>
      <c r="P18" s="431"/>
      <c r="Q18" s="434"/>
      <c r="R18" s="421"/>
    </row>
    <row r="19" spans="1:23" s="274" customFormat="1" ht="21.9" customHeight="1">
      <c r="A19" s="421"/>
      <c r="B19" s="426"/>
      <c r="C19" s="431"/>
      <c r="D19" s="431"/>
      <c r="E19" s="431"/>
      <c r="F19" s="431"/>
      <c r="G19" s="431"/>
      <c r="H19" s="431"/>
      <c r="I19" s="431"/>
      <c r="J19" s="431"/>
      <c r="K19" s="431"/>
      <c r="L19" s="431"/>
      <c r="M19" s="431"/>
      <c r="N19" s="431"/>
      <c r="O19" s="431"/>
      <c r="P19" s="431"/>
      <c r="Q19" s="434"/>
      <c r="R19" s="421"/>
    </row>
    <row r="20" spans="1:23" s="274" customFormat="1" ht="21.9" customHeight="1">
      <c r="A20" s="421"/>
      <c r="B20" s="426"/>
      <c r="C20" s="431"/>
      <c r="D20" s="431"/>
      <c r="E20" s="431"/>
      <c r="F20" s="431"/>
      <c r="G20" s="431"/>
      <c r="H20" s="431"/>
      <c r="I20" s="431"/>
      <c r="J20" s="431"/>
      <c r="K20" s="431"/>
      <c r="L20" s="431"/>
      <c r="M20" s="431"/>
      <c r="N20" s="431"/>
      <c r="O20" s="431"/>
      <c r="P20" s="431"/>
      <c r="Q20" s="434"/>
      <c r="R20" s="421"/>
    </row>
    <row r="21" spans="1:23" s="274" customFormat="1" ht="21.9" customHeight="1">
      <c r="A21" s="421"/>
      <c r="B21" s="426"/>
      <c r="C21" s="431"/>
      <c r="D21" s="431"/>
      <c r="E21" s="431"/>
      <c r="F21" s="431"/>
      <c r="G21" s="431"/>
      <c r="H21" s="431"/>
      <c r="I21" s="431"/>
      <c r="J21" s="431"/>
      <c r="K21" s="431"/>
      <c r="L21" s="431"/>
      <c r="M21" s="431"/>
      <c r="N21" s="431"/>
      <c r="O21" s="431"/>
      <c r="P21" s="431"/>
      <c r="Q21" s="434"/>
      <c r="R21" s="421"/>
    </row>
    <row r="22" spans="1:23" s="274" customFormat="1" ht="24.9" customHeight="1">
      <c r="A22" s="421"/>
      <c r="B22" s="426"/>
      <c r="C22" s="435"/>
      <c r="D22" s="436" t="s">
        <v>339</v>
      </c>
      <c r="E22" s="435"/>
      <c r="F22" s="475" t="s">
        <v>404</v>
      </c>
      <c r="G22" s="447">
        <v>700</v>
      </c>
      <c r="H22" s="437" t="s">
        <v>340</v>
      </c>
      <c r="I22" s="435"/>
      <c r="J22" s="469" t="s">
        <v>345</v>
      </c>
      <c r="K22" s="468"/>
      <c r="L22" s="475" t="s">
        <v>404</v>
      </c>
      <c r="M22" s="450">
        <v>2</v>
      </c>
      <c r="N22" s="517" t="str">
        <f>LOOKUP(M22,Tabell2[Y = overflatestruktur klasser],Tabell2[Kjøreforhold])</f>
        <v>Gode</v>
      </c>
      <c r="O22" s="518"/>
      <c r="P22" s="431"/>
      <c r="Q22" s="434"/>
      <c r="R22" s="421"/>
    </row>
    <row r="23" spans="1:23" s="274" customFormat="1" ht="15" customHeight="1">
      <c r="A23" s="421"/>
      <c r="B23" s="426"/>
      <c r="C23" s="435"/>
      <c r="D23" s="438"/>
      <c r="E23" s="435"/>
      <c r="F23" s="439"/>
      <c r="G23" s="440"/>
      <c r="H23" s="439"/>
      <c r="I23" s="435"/>
      <c r="J23" s="515" t="s">
        <v>346</v>
      </c>
      <c r="K23" s="515"/>
      <c r="L23" s="439"/>
      <c r="M23" s="440"/>
      <c r="N23" s="439"/>
      <c r="O23" s="431"/>
      <c r="P23" s="431"/>
      <c r="Q23" s="434"/>
      <c r="R23" s="421"/>
    </row>
    <row r="24" spans="1:23" s="274" customFormat="1" ht="24.9" customHeight="1">
      <c r="A24" s="421"/>
      <c r="B24" s="426"/>
      <c r="C24" s="435"/>
      <c r="D24" s="436" t="s">
        <v>12</v>
      </c>
      <c r="E24" s="435"/>
      <c r="F24" s="475" t="s">
        <v>404</v>
      </c>
      <c r="G24" s="447">
        <v>13</v>
      </c>
      <c r="H24" s="437" t="s">
        <v>15</v>
      </c>
      <c r="I24" s="435"/>
      <c r="J24" s="515"/>
      <c r="K24" s="515"/>
      <c r="L24" s="475" t="s">
        <v>404</v>
      </c>
      <c r="M24" s="450">
        <v>2</v>
      </c>
      <c r="N24" s="517" t="str">
        <f>LOOKUP(M24,HJELPETABELLER!B7:B11,HJELPETABELLER!C7:C11)</f>
        <v>Gode</v>
      </c>
      <c r="O24" s="518"/>
      <c r="P24" s="431"/>
      <c r="Q24" s="434"/>
      <c r="R24" s="421"/>
    </row>
    <row r="25" spans="1:23" s="274" customFormat="1" ht="15" customHeight="1">
      <c r="A25" s="421"/>
      <c r="B25" s="426"/>
      <c r="C25" s="435"/>
      <c r="D25" s="438"/>
      <c r="E25" s="435"/>
      <c r="F25" s="439"/>
      <c r="G25" s="440"/>
      <c r="H25" s="439"/>
      <c r="I25" s="435"/>
      <c r="J25" s="515"/>
      <c r="K25" s="515"/>
      <c r="L25" s="435"/>
      <c r="M25" s="435"/>
      <c r="N25" s="435"/>
      <c r="O25" s="431"/>
      <c r="P25" s="431"/>
      <c r="Q25" s="434"/>
      <c r="R25" s="421"/>
    </row>
    <row r="26" spans="1:23" s="274" customFormat="1" ht="24.9" customHeight="1">
      <c r="A26" s="421"/>
      <c r="B26" s="426"/>
      <c r="C26" s="435"/>
      <c r="D26" s="436" t="s">
        <v>342</v>
      </c>
      <c r="E26" s="435"/>
      <c r="F26" s="475" t="s">
        <v>404</v>
      </c>
      <c r="G26" s="447">
        <v>65</v>
      </c>
      <c r="H26" s="437" t="s">
        <v>11</v>
      </c>
      <c r="I26" s="435"/>
      <c r="J26" s="436" t="s">
        <v>343</v>
      </c>
      <c r="K26" s="435"/>
      <c r="L26" s="475" t="s">
        <v>404</v>
      </c>
      <c r="M26" s="447">
        <v>2</v>
      </c>
      <c r="N26" s="437" t="str">
        <f>LOOKUP(M26,Tabell3[L = helningsklasser],Tabell3[% helning])</f>
        <v>10-20 %</v>
      </c>
      <c r="O26" s="431"/>
      <c r="P26" s="431"/>
      <c r="Q26" s="434"/>
      <c r="R26" s="421"/>
      <c r="S26" s="441"/>
    </row>
    <row r="27" spans="1:23" s="274" customFormat="1" ht="15" customHeight="1">
      <c r="A27" s="421"/>
      <c r="B27" s="426"/>
      <c r="C27" s="435"/>
      <c r="D27" s="438"/>
      <c r="E27" s="435"/>
      <c r="F27" s="439"/>
      <c r="G27" s="440"/>
      <c r="H27" s="439"/>
      <c r="I27" s="435"/>
      <c r="J27" s="438"/>
      <c r="K27" s="435"/>
      <c r="L27" s="435"/>
      <c r="M27" s="435"/>
      <c r="N27" s="435"/>
      <c r="O27" s="431"/>
      <c r="P27" s="431"/>
      <c r="Q27" s="434"/>
      <c r="R27" s="421"/>
    </row>
    <row r="28" spans="1:23" s="274" customFormat="1" ht="24.9" customHeight="1">
      <c r="A28" s="421"/>
      <c r="B28" s="426"/>
      <c r="C28" s="435"/>
      <c r="D28" s="436" t="s">
        <v>341</v>
      </c>
      <c r="E28" s="435"/>
      <c r="F28" s="475" t="s">
        <v>404</v>
      </c>
      <c r="G28" s="447">
        <v>100</v>
      </c>
      <c r="H28" s="437" t="s">
        <v>11</v>
      </c>
      <c r="I28" s="435"/>
      <c r="J28" s="436" t="s">
        <v>380</v>
      </c>
      <c r="K28" s="435"/>
      <c r="L28" s="475" t="s">
        <v>404</v>
      </c>
      <c r="M28" s="447">
        <v>1</v>
      </c>
      <c r="N28" s="437" t="str">
        <f>LOOKUP(M28,Tabell3[L = helningsklasser],Tabell3[% helning])</f>
        <v>0-10 %</v>
      </c>
      <c r="O28" s="431"/>
      <c r="P28" s="431"/>
      <c r="Q28" s="434"/>
      <c r="R28" s="421"/>
      <c r="V28"/>
    </row>
    <row r="29" spans="1:23" s="274" customFormat="1" ht="15" customHeight="1">
      <c r="A29" s="421"/>
      <c r="B29" s="426"/>
      <c r="C29" s="435"/>
      <c r="D29" s="431"/>
      <c r="E29" s="438"/>
      <c r="F29" s="439"/>
      <c r="G29" s="440"/>
      <c r="H29" s="439"/>
      <c r="I29" s="435"/>
      <c r="J29" s="438"/>
      <c r="K29" s="435"/>
      <c r="L29" s="439"/>
      <c r="M29" s="440"/>
      <c r="N29" s="439"/>
      <c r="O29" s="431"/>
      <c r="P29" s="442"/>
      <c r="Q29" s="434"/>
      <c r="R29" s="421"/>
      <c r="U29" s="435"/>
      <c r="W29" s="433"/>
    </row>
    <row r="30" spans="1:23" s="274" customFormat="1" ht="24.9" customHeight="1">
      <c r="A30" s="421"/>
      <c r="B30" s="426"/>
      <c r="C30" s="435"/>
      <c r="D30" s="436" t="s">
        <v>374</v>
      </c>
      <c r="E30" s="436"/>
      <c r="F30" s="475" t="s">
        <v>404</v>
      </c>
      <c r="G30" s="448">
        <v>43840</v>
      </c>
      <c r="H30" s="437" t="s">
        <v>357</v>
      </c>
      <c r="I30" s="435"/>
      <c r="J30" s="436" t="s">
        <v>376</v>
      </c>
      <c r="K30" s="435"/>
      <c r="L30" s="475" t="s">
        <v>404</v>
      </c>
      <c r="M30" s="447">
        <v>600</v>
      </c>
      <c r="N30" s="437" t="s">
        <v>378</v>
      </c>
      <c r="O30" s="431"/>
      <c r="P30" s="431"/>
      <c r="Q30" s="434"/>
      <c r="R30" s="421"/>
    </row>
    <row r="31" spans="1:23" s="274" customFormat="1" ht="15" customHeight="1">
      <c r="A31" s="421"/>
      <c r="B31" s="426"/>
      <c r="C31" s="435"/>
      <c r="D31" s="431"/>
      <c r="E31" s="431"/>
      <c r="F31" s="431"/>
      <c r="G31" s="431"/>
      <c r="H31" s="431"/>
      <c r="I31" s="435"/>
      <c r="J31" s="438"/>
      <c r="K31" s="435"/>
      <c r="L31" s="439"/>
      <c r="M31" s="440"/>
      <c r="N31" s="439"/>
      <c r="O31" s="431"/>
      <c r="P31" s="431"/>
      <c r="Q31" s="434"/>
      <c r="R31" s="421"/>
    </row>
    <row r="32" spans="1:23" s="274" customFormat="1" ht="24.9" customHeight="1">
      <c r="A32" s="421"/>
      <c r="B32" s="426"/>
      <c r="C32" s="435"/>
      <c r="D32" s="436" t="s">
        <v>370</v>
      </c>
      <c r="E32" s="436"/>
      <c r="F32" s="475" t="s">
        <v>404</v>
      </c>
      <c r="G32" s="449">
        <v>8</v>
      </c>
      <c r="H32" s="437" t="s">
        <v>371</v>
      </c>
      <c r="I32" s="435"/>
      <c r="J32" s="436" t="s">
        <v>379</v>
      </c>
      <c r="K32" s="443"/>
      <c r="L32" s="475" t="s">
        <v>404</v>
      </c>
      <c r="M32" s="447">
        <v>0</v>
      </c>
      <c r="N32" s="437" t="s">
        <v>378</v>
      </c>
      <c r="O32" s="431"/>
      <c r="P32" s="431"/>
      <c r="Q32" s="434"/>
      <c r="R32" s="421"/>
      <c r="V32"/>
    </row>
    <row r="33" spans="1:18" s="274" customFormat="1" ht="15" customHeight="1">
      <c r="A33" s="421"/>
      <c r="B33" s="426"/>
      <c r="C33" s="431"/>
      <c r="D33" s="431"/>
      <c r="E33" s="431"/>
      <c r="F33" s="431"/>
      <c r="G33" s="431"/>
      <c r="H33" s="431"/>
      <c r="I33" s="431"/>
      <c r="J33" s="438"/>
      <c r="K33" s="435"/>
      <c r="L33" s="439"/>
      <c r="M33" s="440"/>
      <c r="N33" s="439"/>
      <c r="O33" s="431"/>
      <c r="P33" s="431"/>
      <c r="Q33" s="434"/>
      <c r="R33" s="421"/>
    </row>
    <row r="34" spans="1:18" s="274" customFormat="1" ht="24.9" customHeight="1">
      <c r="A34" s="421"/>
      <c r="B34" s="426"/>
      <c r="C34" s="444"/>
      <c r="D34" s="436" t="s">
        <v>405</v>
      </c>
      <c r="E34" s="436"/>
      <c r="F34" s="475" t="s">
        <v>404</v>
      </c>
      <c r="G34" s="449">
        <v>1</v>
      </c>
      <c r="H34" s="437" t="s">
        <v>4</v>
      </c>
      <c r="I34" s="467"/>
      <c r="J34" s="436" t="s">
        <v>89</v>
      </c>
      <c r="K34" s="435"/>
      <c r="L34" s="475" t="s">
        <v>404</v>
      </c>
      <c r="M34" s="447">
        <v>15</v>
      </c>
      <c r="N34" s="437" t="s">
        <v>377</v>
      </c>
      <c r="O34" s="444"/>
      <c r="P34" s="444"/>
      <c r="Q34" s="434"/>
      <c r="R34" s="421"/>
    </row>
    <row r="35" spans="1:18" s="274" customFormat="1" ht="15" customHeight="1">
      <c r="A35" s="421"/>
      <c r="B35" s="426"/>
      <c r="C35" s="431"/>
      <c r="D35" s="431"/>
      <c r="E35" s="431"/>
      <c r="F35" s="431"/>
      <c r="G35" s="431"/>
      <c r="H35" s="431"/>
      <c r="I35" s="431"/>
      <c r="J35" s="438"/>
      <c r="K35" s="435"/>
      <c r="L35" s="439"/>
      <c r="M35" s="440"/>
      <c r="N35" s="439"/>
      <c r="O35" s="431"/>
      <c r="P35" s="431"/>
      <c r="Q35" s="434"/>
      <c r="R35" s="421"/>
    </row>
    <row r="36" spans="1:18" ht="24.9" customHeight="1">
      <c r="A36" s="421"/>
      <c r="B36" s="426"/>
      <c r="C36" s="444"/>
      <c r="D36" s="436" t="s">
        <v>373</v>
      </c>
      <c r="E36" s="436"/>
      <c r="F36" s="475" t="s">
        <v>404</v>
      </c>
      <c r="G36" s="448">
        <v>43812</v>
      </c>
      <c r="H36" s="437" t="s">
        <v>357</v>
      </c>
      <c r="I36" s="395"/>
      <c r="J36" s="436" t="s">
        <v>96</v>
      </c>
      <c r="K36" s="435"/>
      <c r="L36" s="475" t="s">
        <v>404</v>
      </c>
      <c r="M36" s="447">
        <v>4</v>
      </c>
      <c r="N36" s="437" t="s">
        <v>4</v>
      </c>
      <c r="O36" s="431"/>
      <c r="P36" s="431"/>
      <c r="Q36" s="434"/>
      <c r="R36" s="421"/>
    </row>
    <row r="37" spans="1:18" s="274" customFormat="1" ht="15" customHeight="1">
      <c r="A37" s="421"/>
      <c r="B37" s="426"/>
      <c r="C37" s="444"/>
      <c r="D37" s="431"/>
      <c r="E37" s="431"/>
      <c r="F37" s="431"/>
      <c r="G37" s="431"/>
      <c r="H37" s="431"/>
      <c r="I37" s="431"/>
      <c r="J37" s="438"/>
      <c r="K37" s="435"/>
      <c r="L37" s="439"/>
      <c r="M37" s="440"/>
      <c r="N37" s="439"/>
      <c r="O37" s="431"/>
      <c r="P37" s="431"/>
      <c r="Q37" s="434"/>
      <c r="R37" s="421"/>
    </row>
    <row r="38" spans="1:18" ht="24.9" customHeight="1">
      <c r="A38" s="421"/>
      <c r="B38" s="426"/>
      <c r="C38" s="444"/>
      <c r="D38" s="436" t="s">
        <v>372</v>
      </c>
      <c r="E38" s="436"/>
      <c r="F38" s="475" t="s">
        <v>404</v>
      </c>
      <c r="G38" s="449">
        <v>7.5</v>
      </c>
      <c r="H38" s="437" t="s">
        <v>371</v>
      </c>
      <c r="I38" s="395"/>
      <c r="J38" s="436" t="s">
        <v>383</v>
      </c>
      <c r="K38" s="435"/>
      <c r="L38" s="475" t="s">
        <v>404</v>
      </c>
      <c r="M38" s="447">
        <v>1450</v>
      </c>
      <c r="N38" s="517" t="s">
        <v>384</v>
      </c>
      <c r="O38" s="518"/>
      <c r="P38" s="431"/>
      <c r="Q38" s="434"/>
      <c r="R38" s="421"/>
    </row>
    <row r="39" spans="1:18" s="274" customFormat="1" ht="15" customHeight="1">
      <c r="A39" s="421"/>
      <c r="B39" s="426"/>
      <c r="C39" s="444"/>
      <c r="D39" s="431"/>
      <c r="E39" s="431"/>
      <c r="F39" s="431"/>
      <c r="G39" s="431"/>
      <c r="H39" s="431"/>
      <c r="I39" s="431"/>
      <c r="J39" s="395"/>
      <c r="K39" s="395"/>
      <c r="L39" s="395"/>
      <c r="M39" s="395"/>
      <c r="N39" s="395"/>
      <c r="O39" s="431"/>
      <c r="P39" s="431"/>
      <c r="Q39" s="434"/>
      <c r="R39" s="421"/>
    </row>
    <row r="40" spans="1:18" ht="24.9" customHeight="1">
      <c r="A40" s="421"/>
      <c r="B40" s="426"/>
      <c r="C40" s="444"/>
      <c r="D40" s="436" t="s">
        <v>406</v>
      </c>
      <c r="E40" s="436"/>
      <c r="F40" s="475" t="s">
        <v>404</v>
      </c>
      <c r="G40" s="449">
        <v>1</v>
      </c>
      <c r="H40" s="437" t="s">
        <v>4</v>
      </c>
      <c r="I40" s="395"/>
      <c r="J40" s="436" t="s">
        <v>382</v>
      </c>
      <c r="K40" s="435"/>
      <c r="L40" s="475" t="s">
        <v>404</v>
      </c>
      <c r="M40" s="447">
        <v>1050</v>
      </c>
      <c r="N40" s="517" t="s">
        <v>384</v>
      </c>
      <c r="O40" s="518"/>
      <c r="P40" s="431"/>
      <c r="Q40" s="434"/>
      <c r="R40" s="421"/>
    </row>
    <row r="41" spans="1:18" s="274" customFormat="1" ht="15" customHeight="1">
      <c r="A41" s="421"/>
      <c r="B41" s="426"/>
      <c r="C41" s="431"/>
      <c r="D41" s="431"/>
      <c r="E41" s="431"/>
      <c r="F41" s="431"/>
      <c r="G41" s="431"/>
      <c r="H41" s="431"/>
      <c r="I41" s="431"/>
      <c r="J41" s="438"/>
      <c r="K41" s="435"/>
      <c r="L41" s="439"/>
      <c r="M41" s="440"/>
      <c r="N41" s="439"/>
      <c r="O41" s="431"/>
      <c r="P41" s="431"/>
      <c r="Q41" s="434"/>
      <c r="R41" s="421"/>
    </row>
    <row r="42" spans="1:18" s="420" customFormat="1" ht="3.75" customHeight="1"/>
    <row r="43" spans="1:18" ht="38.25" customHeight="1">
      <c r="A43" s="273"/>
      <c r="B43" s="273"/>
      <c r="C43" s="513" t="s">
        <v>395</v>
      </c>
      <c r="D43" s="513"/>
      <c r="E43" s="513"/>
      <c r="F43" s="513"/>
      <c r="G43" s="513"/>
      <c r="H43" s="513"/>
      <c r="I43" s="513"/>
      <c r="J43" s="513"/>
      <c r="K43" s="513"/>
      <c r="L43" s="445"/>
      <c r="M43" s="513" t="s">
        <v>368</v>
      </c>
      <c r="N43" s="513"/>
      <c r="O43" s="445"/>
      <c r="P43" s="445"/>
      <c r="Q43" s="273"/>
      <c r="R43" s="273"/>
    </row>
    <row r="44" spans="1:18" ht="15.75" customHeight="1">
      <c r="A44" s="273"/>
      <c r="B44" s="273"/>
      <c r="C44" s="453" t="s">
        <v>476</v>
      </c>
      <c r="D44" s="455"/>
      <c r="E44" s="455"/>
      <c r="F44" s="455"/>
      <c r="G44" s="455"/>
      <c r="H44" s="455"/>
      <c r="I44" s="455"/>
      <c r="J44" s="455"/>
      <c r="K44" s="455"/>
      <c r="L44" s="445"/>
      <c r="M44" s="445"/>
      <c r="N44" s="273"/>
      <c r="O44" s="273"/>
      <c r="P44" s="445"/>
      <c r="Q44" s="273"/>
      <c r="R44" s="273"/>
    </row>
    <row r="45" spans="1:18" ht="14.4">
      <c r="A45" s="273"/>
      <c r="B45" s="273"/>
      <c r="C45" s="510" t="s">
        <v>393</v>
      </c>
      <c r="D45" s="510"/>
      <c r="E45" s="510"/>
      <c r="F45" s="510"/>
      <c r="G45" s="510"/>
      <c r="H45" s="510"/>
      <c r="I45" s="510"/>
      <c r="J45" s="514" t="s">
        <v>396</v>
      </c>
      <c r="K45" s="514"/>
      <c r="L45" s="273"/>
      <c r="M45" s="273"/>
      <c r="N45" s="273"/>
      <c r="O45" s="273"/>
      <c r="P45" s="273"/>
      <c r="Q45" s="273"/>
      <c r="R45" s="273"/>
    </row>
    <row r="46" spans="1:18" ht="14.4">
      <c r="A46" s="273"/>
      <c r="B46" s="273"/>
      <c r="C46" s="456" t="s">
        <v>394</v>
      </c>
      <c r="D46" s="457"/>
      <c r="E46" s="457"/>
      <c r="F46" s="457"/>
      <c r="G46" s="457"/>
      <c r="H46" s="457"/>
      <c r="I46" s="457"/>
      <c r="J46" s="458"/>
      <c r="K46" s="458"/>
      <c r="L46" s="445"/>
      <c r="M46" s="445"/>
      <c r="N46" s="445"/>
      <c r="O46" s="445"/>
      <c r="P46" s="445"/>
      <c r="Q46" s="445"/>
      <c r="R46" s="445"/>
    </row>
    <row r="47" spans="1:18" ht="6.75" customHeight="1">
      <c r="A47" s="273"/>
      <c r="B47" s="273"/>
      <c r="C47" s="459"/>
      <c r="D47" s="460"/>
      <c r="E47" s="461"/>
      <c r="F47" s="461"/>
      <c r="G47" s="461"/>
      <c r="H47" s="461"/>
      <c r="I47" s="461"/>
      <c r="J47" s="461"/>
      <c r="K47" s="461"/>
      <c r="L47" s="445"/>
      <c r="M47" s="445"/>
      <c r="N47" s="445"/>
      <c r="O47" s="445"/>
      <c r="P47" s="445"/>
      <c r="Q47" s="445"/>
      <c r="R47" s="445"/>
    </row>
    <row r="48" spans="1:18" ht="14.4">
      <c r="A48" s="273"/>
      <c r="B48" s="273"/>
      <c r="C48" s="462" t="s">
        <v>478</v>
      </c>
      <c r="D48" s="463"/>
      <c r="E48" s="463"/>
      <c r="F48" s="463"/>
      <c r="G48" s="463"/>
      <c r="H48" s="463"/>
      <c r="I48" s="463"/>
      <c r="J48" s="463"/>
      <c r="K48" s="391"/>
      <c r="L48" s="273"/>
      <c r="M48" s="273"/>
      <c r="N48" s="273"/>
      <c r="O48" s="273"/>
      <c r="P48" s="273"/>
      <c r="Q48" s="273"/>
      <c r="R48" s="273"/>
    </row>
    <row r="49" spans="1:23" ht="13.2" customHeight="1">
      <c r="A49" s="273"/>
      <c r="B49" s="273"/>
      <c r="C49" s="505" t="s">
        <v>481</v>
      </c>
      <c r="D49" s="507"/>
      <c r="E49" s="505"/>
      <c r="F49" s="505"/>
      <c r="G49" s="505"/>
      <c r="H49" s="505"/>
      <c r="I49" s="460"/>
      <c r="J49" s="460"/>
      <c r="K49" s="460"/>
      <c r="L49" s="273"/>
      <c r="M49" s="273"/>
      <c r="N49" s="446"/>
      <c r="O49" s="446"/>
      <c r="P49" s="446"/>
      <c r="Q49" s="446"/>
      <c r="R49" s="446"/>
    </row>
    <row r="50" spans="1:23">
      <c r="A50" s="454"/>
      <c r="B50" s="454"/>
      <c r="C50" s="454"/>
      <c r="D50" s="454"/>
      <c r="E50" s="454"/>
      <c r="F50" s="454"/>
      <c r="G50" s="454"/>
      <c r="H50" s="454"/>
      <c r="I50" s="454"/>
      <c r="J50" s="454"/>
      <c r="K50" s="454"/>
      <c r="L50" s="454"/>
      <c r="M50" s="454"/>
      <c r="N50" s="454"/>
      <c r="O50" s="454"/>
      <c r="P50" s="454"/>
      <c r="Q50" s="454"/>
      <c r="R50" s="454"/>
      <c r="W50" s="506"/>
    </row>
    <row r="51" spans="1:23" hidden="1">
      <c r="J51" s="465"/>
    </row>
    <row r="52" spans="1:23" hidden="1"/>
    <row r="53" spans="1:23" hidden="1"/>
    <row r="54" spans="1:23" hidden="1"/>
    <row r="55" spans="1:23" hidden="1"/>
    <row r="56" spans="1:23" hidden="1">
      <c r="G56" s="464"/>
    </row>
    <row r="57" spans="1:23" hidden="1">
      <c r="H57" s="453"/>
    </row>
    <row r="58" spans="1:23" hidden="1">
      <c r="H58" s="453"/>
    </row>
    <row r="59" spans="1:23" hidden="1"/>
    <row r="60" spans="1:23" hidden="1"/>
    <row r="61" spans="1:23" hidden="1"/>
    <row r="62" spans="1:23" hidden="1">
      <c r="D62" s="466"/>
    </row>
  </sheetData>
  <sheetProtection algorithmName="SHA-512" hashValue="1AmOEo4i87F7reYgPRHd5bRuhxYMNeOG5A6Y+gILYwaZLibP/p6qcb3AgHWCDW5E8c3tttkwF7IZKwyhEwyY0w==" saltValue="esxbYZ5ZP3kMhhcQMrSYEw==" spinCount="100000" sheet="1" objects="1" scenarios="1" insertHyperlinks="0" selectLockedCells="1"/>
  <mergeCells count="16">
    <mergeCell ref="C13:E13"/>
    <mergeCell ref="C11:P11"/>
    <mergeCell ref="C14:K14"/>
    <mergeCell ref="C45:I45"/>
    <mergeCell ref="L5:N6"/>
    <mergeCell ref="O5:P6"/>
    <mergeCell ref="C12:E12"/>
    <mergeCell ref="C43:K43"/>
    <mergeCell ref="J45:K45"/>
    <mergeCell ref="J23:K25"/>
    <mergeCell ref="C16:P16"/>
    <mergeCell ref="N22:O22"/>
    <mergeCell ref="N24:O24"/>
    <mergeCell ref="M43:N43"/>
    <mergeCell ref="N38:O38"/>
    <mergeCell ref="N40:O40"/>
  </mergeCells>
  <hyperlinks>
    <hyperlink ref="J22:K22" location="HJELPETABELL!A1" display="Overflatestruktur i terrenget" xr:uid="{00000000-0004-0000-0000-000000000000}"/>
    <hyperlink ref="J23:K25" location="HJELPETABELL!A1" display="Overflatestruktur på eventuell traktorvei" xr:uid="{00000000-0004-0000-0000-000001000000}"/>
    <hyperlink ref="C45" r:id="rId1" xr:uid="{00000000-0004-0000-0000-000002000000}"/>
    <hyperlink ref="C46:I46" location="'NORSKE TILPASNINGER'!A1" display="norske studier gjort av NIBIO, NFR 225329, Sustainable utilization of forest resources in Norway (Bruce Talbot, 2016)." xr:uid="{00000000-0004-0000-0000-000003000000}"/>
    <hyperlink ref="C48:J48" r:id="rId2" display="Maskinkostnadene har som grunnlag 2500 timer/år, basert på beregnede kostnader fra Prosjekt Klimatre, " xr:uid="{00000000-0004-0000-0000-000004000000}"/>
  </hyperlinks>
  <pageMargins left="0.25" right="0.25" top="0.75" bottom="0.75" header="0.3" footer="0.3"/>
  <pageSetup paperSize="9" scale="56" orientation="portrait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1" r:id="rId6" name="Alternativknapp 91">
              <controlPr defaultSize="0" autoFill="0" autoLine="0" autoPict="0">
                <anchor moveWithCells="1">
                  <from>
                    <xdr:col>3</xdr:col>
                    <xdr:colOff>121920</xdr:colOff>
                    <xdr:row>16</xdr:row>
                    <xdr:rowOff>83820</xdr:rowOff>
                  </from>
                  <to>
                    <xdr:col>4</xdr:col>
                    <xdr:colOff>914400</xdr:colOff>
                    <xdr:row>17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3" r:id="rId7" name="Alternativknapp 93">
              <controlPr defaultSize="0" autoFill="0" autoLine="0" autoPict="0">
                <anchor moveWithCells="1">
                  <from>
                    <xdr:col>3</xdr:col>
                    <xdr:colOff>121920</xdr:colOff>
                    <xdr:row>17</xdr:row>
                    <xdr:rowOff>106680</xdr:rowOff>
                  </from>
                  <to>
                    <xdr:col>6</xdr:col>
                    <xdr:colOff>335280</xdr:colOff>
                    <xdr:row>18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4" r:id="rId8" name="Alternativknapp 94">
              <controlPr defaultSize="0" autoFill="0" autoLine="0" autoPict="0">
                <anchor moveWithCells="1">
                  <from>
                    <xdr:col>3</xdr:col>
                    <xdr:colOff>121920</xdr:colOff>
                    <xdr:row>18</xdr:row>
                    <xdr:rowOff>114300</xdr:rowOff>
                  </from>
                  <to>
                    <xdr:col>6</xdr:col>
                    <xdr:colOff>190500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8" r:id="rId9" name="Grupperingsboks 98">
              <controlPr defaultSize="0" autoFill="0" autoPict="0">
                <anchor moveWithCells="1">
                  <from>
                    <xdr:col>2</xdr:col>
                    <xdr:colOff>373380</xdr:colOff>
                    <xdr:row>15</xdr:row>
                    <xdr:rowOff>198120</xdr:rowOff>
                  </from>
                  <to>
                    <xdr:col>6</xdr:col>
                    <xdr:colOff>487680</xdr:colOff>
                    <xdr:row>20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HJELPETABELLER!$B$7:$B$11</xm:f>
          </x14:formula1>
          <xm:sqref>M22 M24</xm:sqref>
        </x14:dataValidation>
        <x14:dataValidation type="list" allowBlank="1" showInputMessage="1" showErrorMessage="1" xr:uid="{00000000-0002-0000-0000-000001000000}">
          <x14:formula1>
            <xm:f>HJELPETABELLER!$F$7:$F$11</xm:f>
          </x14:formula1>
          <xm:sqref>M28 M26</xm:sqref>
        </x14:dataValidation>
        <x14:dataValidation type="list" allowBlank="1" showInputMessage="1" showErrorMessage="1" xr:uid="{00000000-0002-0000-0000-000002000000}">
          <x14:formula1>
            <xm:f>Ferdigdato!$Q$13:$Q$638</xm:f>
          </x14:formula1>
          <xm:sqref>G36 G30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45"/>
  <sheetViews>
    <sheetView workbookViewId="0"/>
  </sheetViews>
  <sheetFormatPr baseColWidth="10" defaultColWidth="0" defaultRowHeight="13.8" zeroHeight="1"/>
  <cols>
    <col min="1" max="22" width="10.8984375" style="391" customWidth="1"/>
    <col min="23" max="16384" width="11.09765625" style="391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</sheetData>
  <sheetProtection insertHyperlinks="0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Dash">
    <pageSetUpPr fitToPage="1"/>
  </sheetPr>
  <dimension ref="A1:BA83"/>
  <sheetViews>
    <sheetView zoomScale="60" zoomScaleNormal="60" workbookViewId="0">
      <selection activeCell="E17" sqref="E17"/>
    </sheetView>
  </sheetViews>
  <sheetFormatPr baseColWidth="10" defaultColWidth="0" defaultRowHeight="13.8" zeroHeight="1"/>
  <cols>
    <col min="1" max="1" width="1.59765625" style="192" customWidth="1"/>
    <col min="2" max="2" width="2" style="192" customWidth="1"/>
    <col min="3" max="3" width="24" style="192" customWidth="1"/>
    <col min="4" max="5" width="15.59765625" style="192" customWidth="1"/>
    <col min="6" max="6" width="13.3984375" style="192" customWidth="1"/>
    <col min="7" max="7" width="9.3984375" style="192" customWidth="1"/>
    <col min="8" max="8" width="14.59765625" style="192" customWidth="1"/>
    <col min="9" max="9" width="2.59765625" style="192" customWidth="1"/>
    <col min="10" max="11" width="6.8984375" style="192" customWidth="1"/>
    <col min="12" max="12" width="10.09765625" style="192" customWidth="1"/>
    <col min="13" max="13" width="7.09765625" style="192" customWidth="1"/>
    <col min="14" max="15" width="2" style="192" customWidth="1"/>
    <col min="16" max="16" width="24" style="192" customWidth="1"/>
    <col min="17" max="18" width="15.59765625" style="192" customWidth="1"/>
    <col min="19" max="19" width="13" style="192" customWidth="1"/>
    <col min="20" max="20" width="9.3984375" style="192" customWidth="1"/>
    <col min="21" max="21" width="14.59765625" style="192" customWidth="1"/>
    <col min="22" max="22" width="6.59765625" style="192" customWidth="1"/>
    <col min="23" max="24" width="6.8984375" style="192" customWidth="1"/>
    <col min="25" max="25" width="11.09765625" style="192" customWidth="1"/>
    <col min="26" max="26" width="6.09765625" style="192" customWidth="1"/>
    <col min="27" max="27" width="1.8984375" style="192" customWidth="1"/>
    <col min="28" max="28" width="1.59765625" style="192" customWidth="1"/>
    <col min="29" max="53" width="8.8984375" style="192" hidden="1"/>
    <col min="54" max="16384" width="11.09765625" style="192" hidden="1"/>
  </cols>
  <sheetData>
    <row r="1" spans="1:53" s="177" customFormat="1" ht="12" customHeight="1"/>
    <row r="2" spans="1:53" s="177" customFormat="1" ht="12" customHeight="1"/>
    <row r="3" spans="1:53" s="177" customFormat="1" ht="12" customHeight="1"/>
    <row r="4" spans="1:53" s="73" customFormat="1" ht="19.2">
      <c r="A4" s="177"/>
      <c r="N4" s="177"/>
      <c r="AB4" s="177"/>
      <c r="AC4" s="177"/>
      <c r="AD4" s="177"/>
      <c r="AE4" s="177"/>
      <c r="AF4" s="177"/>
      <c r="AG4" s="177"/>
      <c r="AH4" s="177"/>
      <c r="AI4" s="177"/>
      <c r="AJ4" s="177"/>
      <c r="AK4" s="177"/>
      <c r="AL4" s="177"/>
      <c r="AM4" s="177"/>
      <c r="AN4" s="177"/>
      <c r="AO4" s="177"/>
      <c r="AP4" s="177"/>
      <c r="AQ4" s="177"/>
      <c r="AR4" s="177"/>
      <c r="AS4" s="177"/>
      <c r="AT4" s="177"/>
      <c r="AU4" s="177"/>
      <c r="AV4" s="177"/>
      <c r="AW4" s="177"/>
      <c r="AX4" s="177"/>
      <c r="AY4" s="177"/>
      <c r="AZ4" s="177"/>
      <c r="BA4" s="177"/>
    </row>
    <row r="5" spans="1:53" s="73" customFormat="1" ht="36" thickBot="1">
      <c r="A5" s="177"/>
      <c r="C5" s="396" t="s">
        <v>199</v>
      </c>
      <c r="D5" s="396"/>
      <c r="E5" s="397"/>
      <c r="F5" s="397"/>
      <c r="G5" s="398"/>
      <c r="H5" s="397"/>
      <c r="I5" s="397"/>
      <c r="J5" s="397"/>
      <c r="K5" s="399"/>
      <c r="L5" s="399"/>
      <c r="M5" s="397"/>
      <c r="N5" s="177"/>
      <c r="P5" s="396" t="s">
        <v>64</v>
      </c>
      <c r="Q5" s="396"/>
      <c r="R5" s="397"/>
      <c r="S5" s="397"/>
      <c r="T5" s="398"/>
      <c r="U5" s="397"/>
      <c r="V5" s="397"/>
      <c r="W5" s="397"/>
      <c r="X5" s="399"/>
      <c r="Y5" s="397"/>
      <c r="Z5" s="397"/>
      <c r="AB5" s="177"/>
      <c r="AC5" s="177"/>
      <c r="AD5" s="177"/>
      <c r="AE5" s="177"/>
      <c r="AF5" s="177"/>
      <c r="AG5" s="177"/>
      <c r="AH5" s="177"/>
      <c r="AI5" s="177"/>
      <c r="AJ5" s="177"/>
      <c r="AK5" s="177"/>
      <c r="AL5" s="177"/>
      <c r="AM5" s="177"/>
      <c r="AN5" s="177"/>
      <c r="AO5" s="177"/>
      <c r="AP5" s="177"/>
      <c r="AQ5" s="177"/>
      <c r="AR5" s="177"/>
      <c r="AS5" s="177"/>
      <c r="AT5" s="177"/>
      <c r="AU5" s="177"/>
      <c r="AV5" s="177"/>
      <c r="AW5" s="177"/>
      <c r="AX5" s="177"/>
      <c r="AY5" s="177"/>
      <c r="AZ5" s="177"/>
      <c r="BA5" s="177"/>
    </row>
    <row r="6" spans="1:53" s="73" customFormat="1" ht="50.25" customHeight="1" thickTop="1">
      <c r="A6" s="177"/>
      <c r="C6" s="400" t="s">
        <v>200</v>
      </c>
      <c r="K6" s="401"/>
      <c r="L6" s="401"/>
      <c r="N6" s="177"/>
      <c r="P6" s="400" t="s">
        <v>200</v>
      </c>
      <c r="X6" s="401"/>
      <c r="AB6" s="177"/>
      <c r="AC6" s="177"/>
      <c r="AD6" s="177"/>
      <c r="AE6" s="177"/>
      <c r="AF6" s="177"/>
      <c r="AG6" s="177"/>
      <c r="AH6" s="177"/>
      <c r="AI6" s="177"/>
      <c r="AJ6" s="177"/>
      <c r="AK6" s="177"/>
      <c r="AL6" s="177"/>
      <c r="AM6" s="177"/>
      <c r="AN6" s="177"/>
      <c r="AO6" s="177"/>
      <c r="AP6" s="177"/>
      <c r="AQ6" s="177"/>
      <c r="AR6" s="177"/>
      <c r="AS6" s="177"/>
      <c r="AT6" s="177"/>
      <c r="AU6" s="177"/>
      <c r="AV6" s="177"/>
      <c r="AW6" s="177"/>
      <c r="AX6" s="177"/>
      <c r="AY6" s="177"/>
      <c r="AZ6" s="177"/>
      <c r="BA6" s="177"/>
    </row>
    <row r="7" spans="1:53" s="73" customFormat="1" ht="36" customHeight="1">
      <c r="A7" s="177"/>
      <c r="C7" s="402" t="s">
        <v>192</v>
      </c>
      <c r="D7" s="402" t="s">
        <v>197</v>
      </c>
      <c r="E7" s="402" t="s">
        <v>193</v>
      </c>
      <c r="F7" s="402" t="s">
        <v>194</v>
      </c>
      <c r="K7" s="403"/>
      <c r="L7" s="403"/>
      <c r="N7" s="177"/>
      <c r="P7" s="402" t="s">
        <v>192</v>
      </c>
      <c r="Q7" s="402" t="s">
        <v>197</v>
      </c>
      <c r="R7" s="402" t="s">
        <v>193</v>
      </c>
      <c r="S7" s="402" t="s">
        <v>194</v>
      </c>
      <c r="X7" s="403"/>
      <c r="AB7" s="177"/>
      <c r="AC7" s="177"/>
      <c r="AD7" s="177"/>
      <c r="AE7" s="177"/>
      <c r="AF7" s="177"/>
      <c r="AG7" s="177"/>
      <c r="AH7" s="177"/>
      <c r="AI7" s="177"/>
      <c r="AJ7" s="177"/>
      <c r="AK7" s="177"/>
      <c r="AL7" s="177"/>
      <c r="AM7" s="177"/>
      <c r="AN7" s="177"/>
      <c r="AO7" s="177"/>
      <c r="AP7" s="177"/>
      <c r="AQ7" s="177"/>
      <c r="AR7" s="177"/>
      <c r="AS7" s="177"/>
      <c r="AT7" s="177"/>
      <c r="AU7" s="177"/>
      <c r="AV7" s="177"/>
      <c r="AW7" s="177"/>
      <c r="AX7" s="177"/>
      <c r="AY7" s="177"/>
      <c r="AZ7" s="177"/>
      <c r="BA7" s="177"/>
    </row>
    <row r="8" spans="1:53" s="73" customFormat="1" ht="30.75" customHeight="1">
      <c r="A8" s="177"/>
      <c r="C8" s="404">
        <f>FORSIDE!G30</f>
        <v>43840</v>
      </c>
      <c r="D8" s="405">
        <f>FORSIDE!G22</f>
        <v>700</v>
      </c>
      <c r="E8" s="406">
        <f>FORSIDE!G32</f>
        <v>8</v>
      </c>
      <c r="F8" s="406">
        <f>FORSIDE!G34</f>
        <v>1</v>
      </c>
      <c r="H8" s="73" t="s">
        <v>191</v>
      </c>
      <c r="J8" s="73" t="s">
        <v>188</v>
      </c>
      <c r="N8" s="177"/>
      <c r="P8" s="404">
        <f>FORSIDE!G36</f>
        <v>43812</v>
      </c>
      <c r="Q8" s="405">
        <f>D8</f>
        <v>700</v>
      </c>
      <c r="R8" s="406">
        <f>FORSIDE!G38</f>
        <v>7.5</v>
      </c>
      <c r="S8" s="406">
        <f>FORSIDE!G40</f>
        <v>1</v>
      </c>
      <c r="U8" s="73" t="s">
        <v>191</v>
      </c>
      <c r="W8" s="73" t="s">
        <v>188</v>
      </c>
      <c r="AB8" s="177"/>
      <c r="AC8" s="177"/>
      <c r="AD8" s="177"/>
      <c r="AE8" s="177"/>
      <c r="AF8" s="177"/>
      <c r="AG8" s="177"/>
      <c r="AH8" s="177"/>
      <c r="AI8" s="177"/>
      <c r="AJ8" s="177"/>
      <c r="AK8" s="177"/>
      <c r="AL8" s="177"/>
      <c r="AM8" s="177"/>
      <c r="AN8" s="177"/>
      <c r="AO8" s="177"/>
      <c r="AP8" s="177"/>
      <c r="AQ8" s="177"/>
      <c r="AR8" s="177"/>
      <c r="AS8" s="177"/>
      <c r="AT8" s="177"/>
      <c r="AU8" s="177"/>
      <c r="AV8" s="177"/>
      <c r="AW8" s="177"/>
      <c r="AX8" s="177"/>
      <c r="AY8" s="177"/>
      <c r="AZ8" s="177"/>
      <c r="BA8" s="177"/>
    </row>
    <row r="9" spans="1:53" s="73" customFormat="1" ht="21.75" customHeight="1">
      <c r="A9" s="177"/>
      <c r="H9" s="20" t="s">
        <v>183</v>
      </c>
      <c r="I9" s="20">
        <v>0</v>
      </c>
      <c r="J9" s="20" t="s">
        <v>189</v>
      </c>
      <c r="K9" s="407">
        <f>'PROD.NORMER TABELL'!O24</f>
        <v>15.016562764013511</v>
      </c>
      <c r="N9" s="177"/>
      <c r="U9" s="20" t="s">
        <v>183</v>
      </c>
      <c r="V9" s="20">
        <v>0</v>
      </c>
      <c r="W9" s="20" t="s">
        <v>189</v>
      </c>
      <c r="X9" s="407">
        <f>'PROD.NORMER TABELL'!I29</f>
        <v>14.121825183231605</v>
      </c>
      <c r="AB9" s="177"/>
      <c r="AC9" s="177"/>
      <c r="AD9" s="177"/>
      <c r="AE9" s="177"/>
      <c r="AF9" s="177"/>
      <c r="AG9" s="177"/>
      <c r="AH9" s="177"/>
      <c r="AI9" s="177"/>
      <c r="AJ9" s="177"/>
      <c r="AK9" s="177"/>
      <c r="AL9" s="177"/>
      <c r="AM9" s="177"/>
      <c r="AN9" s="177"/>
      <c r="AO9" s="177"/>
      <c r="AP9" s="177"/>
      <c r="AQ9" s="177"/>
      <c r="AR9" s="177"/>
      <c r="AS9" s="177"/>
      <c r="AT9" s="177"/>
      <c r="AU9" s="177"/>
      <c r="AV9" s="177"/>
      <c r="AW9" s="177"/>
      <c r="AX9" s="177"/>
      <c r="AY9" s="177"/>
      <c r="AZ9" s="177"/>
      <c r="BA9" s="177"/>
    </row>
    <row r="10" spans="1:53" s="73" customFormat="1" ht="26.25" customHeight="1">
      <c r="A10" s="177"/>
      <c r="C10" s="408" t="s">
        <v>195</v>
      </c>
      <c r="D10" s="519" t="s">
        <v>196</v>
      </c>
      <c r="E10" s="520"/>
      <c r="F10" s="409" t="s">
        <v>198</v>
      </c>
      <c r="H10" s="20" t="s">
        <v>187</v>
      </c>
      <c r="I10" s="20">
        <v>30</v>
      </c>
      <c r="J10" s="20" t="s">
        <v>190</v>
      </c>
      <c r="K10" s="20">
        <v>1</v>
      </c>
      <c r="N10" s="177"/>
      <c r="P10" s="408" t="s">
        <v>195</v>
      </c>
      <c r="Q10" s="519" t="s">
        <v>196</v>
      </c>
      <c r="R10" s="520"/>
      <c r="S10" s="409" t="s">
        <v>198</v>
      </c>
      <c r="U10" s="20" t="s">
        <v>187</v>
      </c>
      <c r="V10" s="20">
        <v>30</v>
      </c>
      <c r="W10" s="20" t="s">
        <v>190</v>
      </c>
      <c r="X10" s="20">
        <v>1</v>
      </c>
      <c r="AB10" s="177"/>
      <c r="AC10" s="177"/>
      <c r="AD10" s="177"/>
      <c r="AE10" s="177"/>
      <c r="AF10" s="177"/>
      <c r="AG10" s="177"/>
      <c r="AH10" s="177"/>
      <c r="AI10" s="177"/>
      <c r="AJ10" s="177"/>
      <c r="AK10" s="177"/>
      <c r="AL10" s="177"/>
      <c r="AM10" s="177"/>
      <c r="AN10" s="177"/>
      <c r="AO10" s="177"/>
      <c r="AP10" s="177"/>
      <c r="AQ10" s="177"/>
      <c r="AR10" s="177"/>
      <c r="AS10" s="177"/>
      <c r="AT10" s="177"/>
      <c r="AU10" s="177"/>
      <c r="AV10" s="177"/>
      <c r="AW10" s="177"/>
      <c r="AX10" s="177"/>
      <c r="AY10" s="177"/>
      <c r="AZ10" s="177"/>
      <c r="BA10" s="177"/>
    </row>
    <row r="11" spans="1:53" s="73" customFormat="1" ht="60.6">
      <c r="A11" s="177"/>
      <c r="C11" s="404">
        <v>43847</v>
      </c>
      <c r="D11" s="528">
        <f>(D8/'PROD.NORMER TABELL'!O24)/(E8*F8)</f>
        <v>5.8268993627283105</v>
      </c>
      <c r="E11" s="522"/>
      <c r="F11" s="406">
        <f>(D8/'PROD.NORMER TABELL'!I16)/E8</f>
        <v>5.8268993627283105</v>
      </c>
      <c r="H11" s="20" t="s">
        <v>186</v>
      </c>
      <c r="I11" s="20">
        <v>30</v>
      </c>
      <c r="J11" s="20" t="s">
        <v>185</v>
      </c>
      <c r="K11" s="20">
        <f>100-(K9+K10)</f>
        <v>83.983437235986486</v>
      </c>
      <c r="N11" s="177"/>
      <c r="P11" s="404">
        <v>43822</v>
      </c>
      <c r="Q11" s="521">
        <f>(Q8/'PROD.NORMER TABELL'!I29)/(R8*S8)</f>
        <v>6.6091551284856767</v>
      </c>
      <c r="R11" s="522"/>
      <c r="S11" s="406">
        <f>(Q8/'PROD.NORMER TABELL'!I29)/R8</f>
        <v>6.6091551284856767</v>
      </c>
      <c r="U11" s="20" t="s">
        <v>186</v>
      </c>
      <c r="V11" s="20">
        <v>30</v>
      </c>
      <c r="W11" s="20" t="s">
        <v>185</v>
      </c>
      <c r="X11" s="20">
        <f>100-(X9+X10)</f>
        <v>84.878174816768393</v>
      </c>
      <c r="AB11" s="177"/>
      <c r="AC11" s="177"/>
      <c r="AD11" s="177"/>
      <c r="AE11" s="177"/>
      <c r="AF11" s="177"/>
      <c r="AG11" s="177"/>
      <c r="AH11" s="177"/>
      <c r="AI11" s="177"/>
      <c r="AJ11" s="177"/>
      <c r="AK11" s="177"/>
      <c r="AL11" s="177"/>
      <c r="AM11" s="177"/>
      <c r="AN11" s="177"/>
      <c r="AO11" s="177"/>
      <c r="AP11" s="177"/>
      <c r="AQ11" s="177"/>
      <c r="AR11" s="177"/>
      <c r="AS11" s="177"/>
      <c r="AT11" s="177"/>
      <c r="AU11" s="177"/>
      <c r="AV11" s="177"/>
      <c r="AW11" s="177"/>
      <c r="AX11" s="177"/>
      <c r="AY11" s="177"/>
      <c r="AZ11" s="177"/>
      <c r="BA11" s="177"/>
    </row>
    <row r="12" spans="1:53" s="73" customFormat="1" ht="8.25" customHeight="1">
      <c r="A12" s="177"/>
      <c r="H12" s="20" t="s">
        <v>184</v>
      </c>
      <c r="I12" s="20">
        <v>40</v>
      </c>
      <c r="J12" s="20"/>
      <c r="K12" s="20"/>
      <c r="N12" s="177"/>
      <c r="U12" s="20" t="s">
        <v>184</v>
      </c>
      <c r="V12" s="20">
        <v>40</v>
      </c>
      <c r="W12" s="20"/>
      <c r="X12" s="20"/>
      <c r="AB12" s="177"/>
      <c r="AC12" s="177"/>
      <c r="AD12" s="177"/>
      <c r="AE12" s="177"/>
      <c r="AF12" s="177"/>
      <c r="AG12" s="177"/>
      <c r="AH12" s="177"/>
      <c r="AI12" s="177"/>
      <c r="AJ12" s="177"/>
      <c r="AK12" s="177"/>
      <c r="AL12" s="177"/>
      <c r="AM12" s="177"/>
      <c r="AN12" s="177"/>
      <c r="AO12" s="177"/>
      <c r="AP12" s="177"/>
      <c r="AQ12" s="177"/>
      <c r="AR12" s="177"/>
      <c r="AS12" s="177"/>
      <c r="AT12" s="177"/>
      <c r="AU12" s="177"/>
      <c r="AV12" s="177"/>
      <c r="AW12" s="177"/>
      <c r="AX12" s="177"/>
      <c r="AY12" s="177"/>
      <c r="AZ12" s="177"/>
      <c r="BA12" s="177"/>
    </row>
    <row r="13" spans="1:53" s="73" customFormat="1" ht="47.25" customHeight="1">
      <c r="A13" s="177"/>
      <c r="C13" s="525" t="s">
        <v>210</v>
      </c>
      <c r="D13" s="525"/>
      <c r="E13" s="525"/>
      <c r="F13" s="525"/>
      <c r="H13" s="20" t="s">
        <v>185</v>
      </c>
      <c r="I13" s="20">
        <v>100</v>
      </c>
      <c r="J13" s="20"/>
      <c r="K13" s="20"/>
      <c r="N13" s="177"/>
      <c r="P13" s="525" t="s">
        <v>210</v>
      </c>
      <c r="Q13" s="525"/>
      <c r="R13" s="525"/>
      <c r="S13" s="525"/>
      <c r="U13" s="20" t="s">
        <v>185</v>
      </c>
      <c r="V13" s="20">
        <v>100</v>
      </c>
      <c r="W13" s="20"/>
      <c r="X13" s="20"/>
      <c r="AB13" s="177"/>
      <c r="AC13" s="177"/>
      <c r="AD13" s="177"/>
      <c r="AE13" s="177"/>
      <c r="AF13" s="177"/>
      <c r="AG13" s="177"/>
      <c r="AH13" s="177"/>
      <c r="AI13" s="177"/>
      <c r="AJ13" s="177"/>
      <c r="AK13" s="177"/>
      <c r="AL13" s="177"/>
      <c r="AM13" s="177"/>
      <c r="AN13" s="177"/>
      <c r="AO13" s="177"/>
      <c r="AP13" s="177"/>
      <c r="AQ13" s="177"/>
      <c r="AR13" s="177"/>
      <c r="AS13" s="177"/>
      <c r="AT13" s="177"/>
      <c r="AU13" s="177"/>
      <c r="AV13" s="177"/>
      <c r="AW13" s="177"/>
      <c r="AX13" s="177"/>
      <c r="AY13" s="177"/>
      <c r="AZ13" s="177"/>
      <c r="BA13" s="177"/>
    </row>
    <row r="14" spans="1:53" s="73" customFormat="1" ht="38.4" customHeight="1" thickBot="1">
      <c r="A14" s="177"/>
      <c r="C14" s="479"/>
      <c r="D14" s="480"/>
      <c r="E14" s="481"/>
      <c r="F14" s="482"/>
      <c r="G14" s="483"/>
      <c r="H14" s="483"/>
      <c r="I14" s="483"/>
      <c r="J14" s="482"/>
      <c r="K14" s="482"/>
      <c r="L14" s="482"/>
      <c r="N14" s="177"/>
      <c r="P14" s="481"/>
      <c r="Q14" s="481"/>
      <c r="R14" s="481"/>
      <c r="S14" s="481"/>
      <c r="T14" s="481"/>
      <c r="U14" s="481"/>
      <c r="V14" s="481"/>
      <c r="W14" s="481"/>
      <c r="X14" s="481"/>
      <c r="Y14" s="481"/>
      <c r="Z14" s="418"/>
      <c r="AB14" s="177"/>
      <c r="AC14" s="177"/>
      <c r="AD14" s="177"/>
      <c r="AE14" s="177"/>
      <c r="AF14" s="177"/>
      <c r="AG14" s="177"/>
      <c r="AH14" s="177"/>
      <c r="AI14" s="177"/>
      <c r="AJ14" s="177"/>
      <c r="AK14" s="177"/>
      <c r="AL14" s="177"/>
      <c r="AM14" s="177"/>
      <c r="AN14" s="177"/>
      <c r="AO14" s="177"/>
      <c r="AP14" s="177"/>
      <c r="AQ14" s="177"/>
      <c r="AR14" s="177"/>
      <c r="AS14" s="177"/>
      <c r="AT14" s="177"/>
      <c r="AU14" s="177"/>
      <c r="AV14" s="177"/>
      <c r="AW14" s="177"/>
      <c r="AX14" s="177"/>
      <c r="AY14" s="177"/>
      <c r="AZ14" s="177"/>
      <c r="BA14" s="177"/>
    </row>
    <row r="15" spans="1:53" s="73" customFormat="1" ht="38.4" customHeight="1" thickTop="1">
      <c r="A15" s="177"/>
      <c r="C15" s="416"/>
      <c r="D15" s="417"/>
      <c r="E15" s="418"/>
      <c r="G15" s="192"/>
      <c r="H15" s="192"/>
      <c r="I15" s="192"/>
      <c r="N15" s="177"/>
      <c r="P15" s="478"/>
      <c r="Q15" s="410"/>
      <c r="R15" s="478"/>
      <c r="S15" s="478"/>
      <c r="AB15" s="177"/>
      <c r="AC15" s="177"/>
      <c r="AD15" s="177"/>
      <c r="AE15" s="177"/>
      <c r="AF15" s="177"/>
      <c r="AG15" s="177"/>
      <c r="AH15" s="177"/>
      <c r="AI15" s="177"/>
      <c r="AJ15" s="177"/>
      <c r="AK15" s="177"/>
      <c r="AL15" s="177"/>
      <c r="AM15" s="177"/>
      <c r="AN15" s="177"/>
      <c r="AO15" s="177"/>
      <c r="AP15" s="177"/>
      <c r="AQ15" s="177"/>
      <c r="AR15" s="177"/>
      <c r="AS15" s="177"/>
      <c r="AT15" s="177"/>
      <c r="AU15" s="177"/>
      <c r="AV15" s="177"/>
      <c r="AW15" s="177"/>
      <c r="AX15" s="177"/>
      <c r="AY15" s="177"/>
      <c r="AZ15" s="177"/>
      <c r="BA15" s="177"/>
    </row>
    <row r="16" spans="1:53" s="73" customFormat="1" ht="19.2">
      <c r="A16" s="177"/>
      <c r="C16" s="411" t="s">
        <v>201</v>
      </c>
      <c r="D16" s="402" t="s">
        <v>203</v>
      </c>
      <c r="E16" s="402" t="s">
        <v>202</v>
      </c>
      <c r="G16" s="519" t="s">
        <v>204</v>
      </c>
      <c r="H16" s="520"/>
      <c r="N16" s="177"/>
      <c r="P16" s="411" t="s">
        <v>201</v>
      </c>
      <c r="Q16" s="402" t="s">
        <v>203</v>
      </c>
      <c r="R16" s="402" t="s">
        <v>202</v>
      </c>
      <c r="T16" s="519" t="s">
        <v>204</v>
      </c>
      <c r="U16" s="520"/>
      <c r="AB16" s="177"/>
      <c r="AC16" s="177"/>
      <c r="AD16" s="177"/>
      <c r="AE16" s="177"/>
      <c r="AF16" s="177"/>
      <c r="AG16" s="177"/>
      <c r="AH16" s="177"/>
      <c r="AI16" s="177"/>
      <c r="AJ16" s="177"/>
      <c r="AK16" s="177"/>
      <c r="AL16" s="177"/>
      <c r="AM16" s="177"/>
      <c r="AN16" s="177"/>
      <c r="AO16" s="177"/>
      <c r="AP16" s="177"/>
      <c r="AQ16" s="177"/>
      <c r="AR16" s="177"/>
      <c r="AS16" s="177"/>
      <c r="AT16" s="177"/>
      <c r="AU16" s="177"/>
      <c r="AV16" s="177"/>
      <c r="AW16" s="177"/>
      <c r="AX16" s="177"/>
      <c r="AY16" s="177"/>
      <c r="AZ16" s="177"/>
      <c r="BA16" s="177"/>
    </row>
    <row r="17" spans="1:53" s="73" customFormat="1" ht="45">
      <c r="A17" s="177"/>
      <c r="C17" s="412" t="s">
        <v>205</v>
      </c>
      <c r="D17" s="413">
        <f>E17*'PROD.NORMER TABELL'!H16/'PROD.NORMER TABELL'!I16</f>
        <v>1740.0000000000002</v>
      </c>
      <c r="E17" s="413">
        <f>FORSIDE!M38</f>
        <v>1450</v>
      </c>
      <c r="F17" s="414"/>
      <c r="G17" s="523">
        <f>E17/K9</f>
        <v>96.560046582354857</v>
      </c>
      <c r="H17" s="524"/>
      <c r="N17" s="177"/>
      <c r="P17" s="412" t="s">
        <v>205</v>
      </c>
      <c r="Q17" s="413">
        <f>R17*'PROD.NORMER TABELL'!H29/'PROD.NORMER TABELL'!I29</f>
        <v>1312.5000000000002</v>
      </c>
      <c r="R17" s="413">
        <f>FORSIDE!M40</f>
        <v>1050</v>
      </c>
      <c r="S17" s="414"/>
      <c r="T17" s="523">
        <f>R17/X9</f>
        <v>74.352995195463848</v>
      </c>
      <c r="U17" s="524"/>
      <c r="Y17" s="418"/>
      <c r="AB17" s="177"/>
      <c r="AC17" s="177"/>
      <c r="AD17" s="177"/>
      <c r="AE17" s="177"/>
      <c r="AF17" s="177"/>
      <c r="AG17" s="177"/>
      <c r="AH17" s="177"/>
      <c r="AI17" s="177"/>
      <c r="AJ17" s="177"/>
      <c r="AK17" s="177"/>
      <c r="AL17" s="177"/>
      <c r="AM17" s="177"/>
      <c r="AN17" s="177"/>
      <c r="AO17" s="177"/>
      <c r="AP17" s="177"/>
      <c r="AQ17" s="177"/>
      <c r="AR17" s="177"/>
      <c r="AS17" s="177"/>
      <c r="AT17" s="177"/>
      <c r="AU17" s="177"/>
      <c r="AV17" s="177"/>
      <c r="AW17" s="177"/>
      <c r="AX17" s="177"/>
      <c r="AY17" s="177"/>
      <c r="AZ17" s="177"/>
      <c r="BA17" s="177"/>
    </row>
    <row r="18" spans="1:53" s="73" customFormat="1" ht="8.4" customHeight="1">
      <c r="A18" s="177"/>
      <c r="G18" s="415"/>
      <c r="N18" s="177"/>
      <c r="T18" s="415"/>
      <c r="U18" s="419"/>
      <c r="AB18" s="177"/>
      <c r="AC18" s="177"/>
      <c r="AD18" s="177"/>
      <c r="AE18" s="177"/>
      <c r="AF18" s="177"/>
      <c r="AG18" s="177"/>
      <c r="AH18" s="177"/>
      <c r="AI18" s="177"/>
      <c r="AJ18" s="177"/>
      <c r="AK18" s="177"/>
      <c r="AL18" s="177"/>
      <c r="AM18" s="177"/>
      <c r="AN18" s="177"/>
      <c r="AO18" s="177"/>
      <c r="AP18" s="177"/>
      <c r="AQ18" s="177"/>
      <c r="AR18" s="177"/>
      <c r="AS18" s="177"/>
      <c r="AT18" s="177"/>
      <c r="AU18" s="177"/>
      <c r="AV18" s="177"/>
      <c r="AW18" s="177"/>
      <c r="AX18" s="177"/>
      <c r="AY18" s="177"/>
      <c r="AZ18" s="177"/>
      <c r="BA18" s="177"/>
    </row>
    <row r="19" spans="1:53" s="73" customFormat="1" ht="22.2">
      <c r="A19" s="177"/>
      <c r="C19" s="416"/>
      <c r="D19" s="417"/>
      <c r="E19" s="418"/>
      <c r="G19" s="192"/>
      <c r="H19" s="192"/>
      <c r="I19" s="192"/>
      <c r="N19" s="177"/>
      <c r="P19" s="416"/>
      <c r="Q19" s="417"/>
      <c r="R19" s="418"/>
      <c r="T19" s="192"/>
      <c r="U19" s="192"/>
      <c r="V19" s="192"/>
      <c r="AB19" s="177"/>
      <c r="AC19" s="177"/>
      <c r="AD19" s="177"/>
      <c r="AE19" s="177"/>
      <c r="AF19" s="177"/>
      <c r="AG19" s="177"/>
      <c r="AH19" s="177"/>
      <c r="AI19" s="177"/>
      <c r="AJ19" s="177"/>
      <c r="AK19" s="177"/>
      <c r="AL19" s="177"/>
      <c r="AM19" s="177"/>
      <c r="AN19" s="177"/>
      <c r="AO19" s="177"/>
      <c r="AP19" s="177"/>
      <c r="AQ19" s="177"/>
      <c r="AR19" s="177"/>
      <c r="AS19" s="177"/>
      <c r="AT19" s="177"/>
      <c r="AU19" s="177"/>
      <c r="AV19" s="177"/>
      <c r="AW19" s="177"/>
      <c r="AX19" s="177"/>
      <c r="AY19" s="177"/>
      <c r="AZ19" s="177"/>
      <c r="BA19" s="177"/>
    </row>
    <row r="20" spans="1:53" s="73" customFormat="1" ht="30" customHeight="1" thickBot="1">
      <c r="A20" s="177"/>
      <c r="C20" s="479"/>
      <c r="D20" s="480"/>
      <c r="E20" s="481"/>
      <c r="F20" s="482"/>
      <c r="G20" s="483"/>
      <c r="H20" s="483"/>
      <c r="I20" s="483"/>
      <c r="J20" s="482"/>
      <c r="K20" s="482"/>
      <c r="L20" s="482"/>
      <c r="N20" s="177"/>
      <c r="P20" s="482"/>
      <c r="Q20" s="482"/>
      <c r="R20" s="482"/>
      <c r="S20" s="482"/>
      <c r="T20" s="482"/>
      <c r="U20" s="482"/>
      <c r="V20" s="482"/>
      <c r="W20" s="482"/>
      <c r="X20" s="482"/>
      <c r="Y20" s="482"/>
      <c r="AB20" s="177"/>
      <c r="AC20" s="177"/>
      <c r="AD20" s="177"/>
      <c r="AE20" s="177"/>
      <c r="AF20" s="177"/>
      <c r="AG20" s="177"/>
      <c r="AH20" s="177"/>
      <c r="AI20" s="177"/>
      <c r="AJ20" s="177"/>
      <c r="AK20" s="177"/>
      <c r="AL20" s="177"/>
      <c r="AM20" s="177"/>
      <c r="AN20" s="177"/>
      <c r="AO20" s="177"/>
      <c r="AP20" s="177"/>
      <c r="AQ20" s="177"/>
      <c r="AR20" s="177"/>
      <c r="AS20" s="177"/>
      <c r="AT20" s="177"/>
      <c r="AU20" s="177"/>
      <c r="AV20" s="177"/>
      <c r="AW20" s="177"/>
      <c r="AX20" s="177"/>
      <c r="AY20" s="177"/>
      <c r="AZ20" s="177"/>
      <c r="BA20" s="177"/>
    </row>
    <row r="21" spans="1:53" s="73" customFormat="1" ht="34.35" customHeight="1" thickTop="1">
      <c r="A21" s="177"/>
      <c r="C21" s="416"/>
      <c r="D21" s="417"/>
      <c r="E21" s="418"/>
      <c r="G21" s="192"/>
      <c r="H21" s="192"/>
      <c r="I21" s="192"/>
      <c r="N21" s="177"/>
      <c r="P21" s="416"/>
      <c r="Q21" s="417"/>
      <c r="R21" s="418"/>
      <c r="T21" s="192"/>
      <c r="U21" s="192"/>
      <c r="V21" s="192"/>
      <c r="AB21" s="177"/>
      <c r="AC21" s="177"/>
      <c r="AD21" s="177"/>
      <c r="AE21" s="177"/>
      <c r="AF21" s="177"/>
      <c r="AG21" s="177"/>
      <c r="AH21" s="177"/>
      <c r="AI21" s="177"/>
      <c r="AJ21" s="177"/>
      <c r="AK21" s="177"/>
      <c r="AL21" s="177"/>
      <c r="AM21" s="177"/>
      <c r="AN21" s="177"/>
      <c r="AO21" s="177"/>
      <c r="AP21" s="177"/>
      <c r="AQ21" s="177"/>
      <c r="AR21" s="177"/>
      <c r="AS21" s="177"/>
      <c r="AT21" s="177"/>
      <c r="AU21" s="177"/>
      <c r="AV21" s="177"/>
      <c r="AW21" s="177"/>
      <c r="AX21" s="177"/>
      <c r="AY21" s="177"/>
      <c r="AZ21" s="177"/>
      <c r="BA21" s="177"/>
    </row>
    <row r="22" spans="1:53" s="73" customFormat="1" ht="20.100000000000001" customHeight="1">
      <c r="A22" s="177"/>
      <c r="C22" s="409" t="s">
        <v>409</v>
      </c>
      <c r="D22" s="519" t="s">
        <v>407</v>
      </c>
      <c r="E22" s="520"/>
      <c r="G22" s="192"/>
      <c r="H22" s="192"/>
      <c r="I22" s="192"/>
      <c r="N22" s="177"/>
      <c r="P22" s="416"/>
      <c r="Q22" s="417"/>
      <c r="R22" s="418"/>
      <c r="T22" s="192"/>
      <c r="U22" s="192"/>
      <c r="V22" s="192"/>
      <c r="AB22" s="177"/>
      <c r="AC22" s="177"/>
      <c r="AD22" s="177"/>
      <c r="AE22" s="177"/>
      <c r="AF22" s="177"/>
      <c r="AG22" s="177"/>
      <c r="AH22" s="177"/>
      <c r="AI22" s="177"/>
      <c r="AJ22" s="177"/>
      <c r="AK22" s="177"/>
      <c r="AL22" s="177"/>
      <c r="AM22" s="177"/>
      <c r="AN22" s="177"/>
      <c r="AO22" s="177"/>
      <c r="AP22" s="177"/>
      <c r="AQ22" s="177"/>
      <c r="AR22" s="177"/>
      <c r="AS22" s="177"/>
      <c r="AT22" s="177"/>
      <c r="AU22" s="177"/>
      <c r="AV22" s="177"/>
      <c r="AW22" s="177"/>
      <c r="AX22" s="177"/>
      <c r="AY22" s="177"/>
      <c r="AZ22" s="177"/>
      <c r="BA22" s="177"/>
    </row>
    <row r="23" spans="1:53" s="73" customFormat="1" ht="46.35" customHeight="1">
      <c r="A23" s="177"/>
      <c r="C23" s="477" t="s">
        <v>408</v>
      </c>
      <c r="D23" s="526">
        <f>FORSIDE!G24/FORSIDE!G26</f>
        <v>0.2</v>
      </c>
      <c r="E23" s="527"/>
      <c r="F23" s="73" t="s">
        <v>410</v>
      </c>
      <c r="G23" s="192"/>
      <c r="H23" s="192"/>
      <c r="I23" s="192"/>
      <c r="N23" s="177"/>
      <c r="P23" s="416"/>
      <c r="Q23" s="417"/>
      <c r="R23" s="418"/>
      <c r="T23" s="192"/>
      <c r="U23" s="192"/>
      <c r="V23" s="192"/>
      <c r="AB23" s="177"/>
      <c r="AC23" s="177"/>
      <c r="AD23" s="177"/>
      <c r="AE23" s="177"/>
      <c r="AF23" s="177"/>
      <c r="AG23" s="177"/>
      <c r="AH23" s="177"/>
      <c r="AI23" s="177"/>
      <c r="AJ23" s="177"/>
      <c r="AK23" s="177"/>
      <c r="AL23" s="177"/>
      <c r="AM23" s="177"/>
      <c r="AN23" s="177"/>
      <c r="AO23" s="177"/>
      <c r="AP23" s="177"/>
      <c r="AQ23" s="177"/>
      <c r="AR23" s="177"/>
      <c r="AS23" s="177"/>
      <c r="AT23" s="177"/>
      <c r="AU23" s="177"/>
      <c r="AV23" s="177"/>
      <c r="AW23" s="177"/>
      <c r="AX23" s="177"/>
      <c r="AY23" s="177"/>
      <c r="AZ23" s="177"/>
      <c r="BA23" s="177"/>
    </row>
    <row r="24" spans="1:53" s="73" customFormat="1" ht="38.1" customHeight="1">
      <c r="A24" s="177"/>
      <c r="N24" s="177"/>
      <c r="AB24" s="177"/>
      <c r="AC24" s="177"/>
      <c r="AD24" s="177"/>
      <c r="AE24" s="177"/>
      <c r="AF24" s="177"/>
      <c r="AG24" s="177"/>
      <c r="AH24" s="177"/>
      <c r="AI24" s="177"/>
      <c r="AJ24" s="177"/>
      <c r="AK24" s="177"/>
      <c r="AL24" s="177"/>
      <c r="AM24" s="177"/>
      <c r="AN24" s="177"/>
      <c r="AO24" s="177"/>
      <c r="AP24" s="177"/>
      <c r="AQ24" s="177"/>
      <c r="AR24" s="177"/>
      <c r="AS24" s="177"/>
      <c r="AT24" s="177"/>
      <c r="AU24" s="177"/>
      <c r="AV24" s="177"/>
      <c r="AW24" s="177"/>
      <c r="AX24" s="177"/>
      <c r="AY24" s="177"/>
      <c r="AZ24" s="177"/>
      <c r="BA24" s="177"/>
    </row>
    <row r="25" spans="1:53" s="73" customFormat="1" ht="9" customHeight="1">
      <c r="A25" s="177"/>
      <c r="B25" s="177"/>
      <c r="C25" s="177"/>
      <c r="D25" s="177"/>
      <c r="E25" s="177"/>
      <c r="F25" s="177"/>
      <c r="G25" s="177"/>
      <c r="H25" s="177"/>
      <c r="I25" s="177"/>
      <c r="J25" s="177"/>
      <c r="K25" s="177"/>
      <c r="L25" s="177"/>
      <c r="M25" s="177"/>
      <c r="N25" s="177"/>
      <c r="O25" s="177"/>
      <c r="P25" s="177"/>
      <c r="Q25" s="177"/>
      <c r="R25" s="177"/>
      <c r="S25" s="177"/>
      <c r="T25" s="177"/>
      <c r="U25" s="177"/>
      <c r="V25" s="177"/>
      <c r="W25" s="177"/>
      <c r="X25" s="177"/>
      <c r="Y25" s="177"/>
      <c r="Z25" s="177"/>
      <c r="AA25" s="177"/>
      <c r="AB25" s="177"/>
      <c r="AC25" s="177"/>
      <c r="AD25" s="177"/>
      <c r="AE25" s="177"/>
      <c r="AF25" s="177"/>
      <c r="AG25" s="177"/>
      <c r="AH25" s="177"/>
      <c r="AI25" s="177"/>
      <c r="AJ25" s="177"/>
      <c r="AK25" s="177"/>
      <c r="AL25" s="177"/>
      <c r="AM25" s="177"/>
      <c r="AN25" s="177"/>
      <c r="AO25" s="177"/>
      <c r="AP25" s="177"/>
      <c r="AQ25" s="177"/>
      <c r="AR25" s="177"/>
      <c r="AS25" s="177"/>
      <c r="AT25" s="177"/>
      <c r="AU25" s="177"/>
      <c r="AV25" s="177"/>
      <c r="AW25" s="177"/>
      <c r="AX25" s="177"/>
      <c r="AY25" s="177"/>
      <c r="AZ25" s="177"/>
      <c r="BA25" s="177"/>
    </row>
    <row r="26" spans="1:53" hidden="1">
      <c r="A26" s="191"/>
      <c r="B26" s="191"/>
      <c r="C26" s="191"/>
      <c r="D26" s="191"/>
      <c r="E26" s="191"/>
      <c r="F26" s="191"/>
      <c r="G26" s="191"/>
      <c r="H26" s="191"/>
      <c r="I26" s="191"/>
      <c r="J26" s="191"/>
      <c r="K26" s="191"/>
      <c r="L26" s="191"/>
      <c r="M26" s="191"/>
      <c r="N26" s="191"/>
      <c r="O26" s="191"/>
      <c r="P26" s="191"/>
      <c r="Q26" s="191"/>
      <c r="R26" s="191"/>
      <c r="S26" s="191"/>
      <c r="T26" s="191"/>
      <c r="U26" s="191"/>
      <c r="V26" s="191"/>
      <c r="W26" s="191"/>
      <c r="X26" s="191"/>
      <c r="Y26" s="191"/>
      <c r="Z26" s="191"/>
      <c r="AA26" s="191"/>
      <c r="AB26" s="191"/>
      <c r="AC26" s="191"/>
      <c r="AD26" s="191"/>
      <c r="AE26" s="191"/>
      <c r="AF26" s="191"/>
      <c r="AG26" s="191"/>
      <c r="AH26" s="191"/>
      <c r="AI26" s="191"/>
      <c r="AJ26" s="191"/>
      <c r="AK26" s="191"/>
      <c r="AL26" s="191"/>
      <c r="AM26" s="191"/>
      <c r="AN26" s="191"/>
      <c r="AO26" s="191"/>
      <c r="AP26" s="191"/>
      <c r="AQ26" s="191"/>
      <c r="AR26" s="191"/>
      <c r="AS26" s="191"/>
      <c r="AT26" s="191"/>
      <c r="AU26" s="191"/>
      <c r="AV26" s="191"/>
      <c r="AW26" s="191"/>
      <c r="AX26" s="191"/>
      <c r="AY26" s="191"/>
      <c r="AZ26" s="191"/>
      <c r="BA26" s="191"/>
    </row>
    <row r="27" spans="1:53" ht="18" hidden="1" customHeight="1">
      <c r="A27" s="191"/>
      <c r="B27" s="191"/>
      <c r="C27" s="191"/>
      <c r="D27" s="191"/>
      <c r="E27" s="191"/>
      <c r="F27" s="191"/>
      <c r="G27" s="191"/>
      <c r="H27" s="191"/>
      <c r="I27" s="191"/>
      <c r="J27" s="191"/>
      <c r="K27" s="191"/>
      <c r="L27" s="191"/>
      <c r="M27" s="191"/>
      <c r="N27" s="191"/>
      <c r="O27" s="191"/>
      <c r="P27" s="191"/>
      <c r="Q27" s="191"/>
      <c r="R27" s="191"/>
      <c r="S27" s="191"/>
      <c r="T27" s="191"/>
      <c r="U27" s="191"/>
      <c r="V27" s="191"/>
      <c r="W27" s="191"/>
      <c r="X27" s="191"/>
      <c r="Y27" s="191"/>
      <c r="Z27" s="191"/>
      <c r="AA27" s="191"/>
      <c r="AB27" s="191"/>
      <c r="AC27" s="191"/>
      <c r="AD27" s="191"/>
      <c r="AE27" s="191"/>
      <c r="AF27" s="191"/>
      <c r="AG27" s="191"/>
      <c r="AH27" s="191"/>
      <c r="AI27" s="191"/>
      <c r="AJ27" s="191"/>
      <c r="AK27" s="191"/>
      <c r="AL27" s="191"/>
      <c r="AM27" s="191"/>
      <c r="AN27" s="191"/>
      <c r="AO27" s="191"/>
      <c r="AP27" s="191"/>
      <c r="AQ27" s="191"/>
      <c r="AR27" s="191"/>
      <c r="AS27" s="191"/>
      <c r="AT27" s="191"/>
      <c r="AU27" s="191"/>
      <c r="AV27" s="191"/>
      <c r="AW27" s="191"/>
      <c r="AX27" s="191"/>
      <c r="AY27" s="191"/>
      <c r="AZ27" s="191"/>
      <c r="BA27" s="191"/>
    </row>
    <row r="28" spans="1:53" ht="18" hidden="1" customHeight="1">
      <c r="A28" s="191"/>
      <c r="B28" s="191"/>
      <c r="C28" s="191"/>
      <c r="D28" s="191"/>
      <c r="E28" s="191"/>
      <c r="F28" s="191"/>
      <c r="G28" s="191"/>
      <c r="H28" s="191"/>
      <c r="I28" s="191"/>
      <c r="J28" s="191"/>
      <c r="K28" s="191"/>
      <c r="L28" s="191"/>
      <c r="M28" s="191"/>
      <c r="N28" s="191"/>
      <c r="O28" s="191"/>
      <c r="P28" s="191"/>
      <c r="Q28" s="191"/>
      <c r="R28" s="191"/>
      <c r="S28" s="191"/>
      <c r="T28" s="191"/>
      <c r="U28" s="191"/>
      <c r="V28" s="191"/>
      <c r="W28" s="191"/>
      <c r="X28" s="191"/>
      <c r="Y28" s="191"/>
      <c r="Z28" s="191"/>
      <c r="AA28" s="191"/>
      <c r="AB28" s="191"/>
      <c r="AC28" s="191"/>
      <c r="AD28" s="191"/>
      <c r="AE28" s="191"/>
      <c r="AF28" s="191"/>
      <c r="AG28" s="191"/>
      <c r="AH28" s="191"/>
      <c r="AI28" s="191"/>
      <c r="AJ28" s="191"/>
      <c r="AK28" s="191"/>
      <c r="AL28" s="191"/>
      <c r="AM28" s="191"/>
      <c r="AN28" s="191"/>
      <c r="AO28" s="191"/>
      <c r="AP28" s="191"/>
      <c r="AQ28" s="191"/>
      <c r="AR28" s="191"/>
      <c r="AS28" s="191"/>
      <c r="AT28" s="191"/>
      <c r="AU28" s="191"/>
      <c r="AV28" s="191"/>
      <c r="AW28" s="191"/>
      <c r="AX28" s="191"/>
      <c r="AY28" s="191"/>
      <c r="AZ28" s="191"/>
      <c r="BA28" s="191"/>
    </row>
    <row r="29" spans="1:53" ht="18" hidden="1" customHeight="1">
      <c r="A29" s="191"/>
      <c r="B29" s="191"/>
      <c r="C29" s="191"/>
      <c r="D29" s="191"/>
      <c r="E29" s="191"/>
      <c r="F29" s="191"/>
      <c r="G29" s="191"/>
      <c r="H29" s="191"/>
      <c r="I29" s="191"/>
      <c r="J29" s="191"/>
      <c r="K29" s="191"/>
      <c r="L29" s="191"/>
      <c r="M29" s="191"/>
      <c r="N29" s="191"/>
      <c r="O29" s="191"/>
      <c r="P29" s="191"/>
      <c r="Q29" s="191"/>
      <c r="R29" s="191"/>
      <c r="S29" s="191"/>
      <c r="T29" s="191"/>
      <c r="U29" s="191"/>
      <c r="V29" s="191"/>
      <c r="W29" s="191"/>
      <c r="X29" s="191"/>
      <c r="Y29" s="191"/>
      <c r="Z29" s="191"/>
      <c r="AA29" s="191"/>
      <c r="AB29" s="191"/>
      <c r="AC29" s="191"/>
      <c r="AD29" s="191"/>
      <c r="AE29" s="191"/>
      <c r="AF29" s="191"/>
      <c r="AG29" s="191"/>
      <c r="AH29" s="191"/>
      <c r="AI29" s="191"/>
      <c r="AJ29" s="191"/>
      <c r="AK29" s="191"/>
      <c r="AL29" s="191"/>
      <c r="AM29" s="191"/>
      <c r="AN29" s="191"/>
      <c r="AO29" s="191"/>
      <c r="AP29" s="191"/>
      <c r="AQ29" s="191"/>
      <c r="AR29" s="191"/>
      <c r="AS29" s="191"/>
      <c r="AT29" s="191"/>
      <c r="AU29" s="191"/>
      <c r="AV29" s="191"/>
      <c r="AW29" s="191"/>
      <c r="AX29" s="191"/>
      <c r="AY29" s="191"/>
      <c r="AZ29" s="191"/>
      <c r="BA29" s="191"/>
    </row>
    <row r="30" spans="1:53" hidden="1">
      <c r="A30" s="191"/>
      <c r="B30" s="191"/>
      <c r="C30" s="191"/>
      <c r="D30" s="191"/>
      <c r="E30" s="191"/>
      <c r="F30" s="191"/>
      <c r="G30" s="191"/>
      <c r="H30" s="191"/>
      <c r="I30" s="191"/>
      <c r="J30" s="191"/>
      <c r="K30" s="191"/>
      <c r="L30" s="191"/>
      <c r="M30" s="191"/>
      <c r="N30" s="191"/>
      <c r="O30" s="191"/>
      <c r="P30" s="191"/>
      <c r="Q30" s="191"/>
      <c r="R30" s="191"/>
      <c r="S30" s="191"/>
      <c r="T30" s="191"/>
      <c r="U30" s="191"/>
      <c r="V30" s="191"/>
      <c r="W30" s="191"/>
      <c r="X30" s="191"/>
      <c r="Y30" s="191"/>
      <c r="Z30" s="191"/>
      <c r="AA30" s="191"/>
      <c r="AB30" s="191"/>
      <c r="AC30" s="191"/>
      <c r="AD30" s="191"/>
      <c r="AE30" s="191"/>
      <c r="AF30" s="191"/>
      <c r="AG30" s="191"/>
      <c r="AH30" s="191"/>
      <c r="AI30" s="191"/>
      <c r="AJ30" s="191"/>
      <c r="AK30" s="191"/>
      <c r="AL30" s="191"/>
      <c r="AM30" s="191"/>
      <c r="AN30" s="191"/>
      <c r="AO30" s="191"/>
      <c r="AP30" s="191"/>
      <c r="AQ30" s="191"/>
      <c r="AR30" s="191"/>
      <c r="AS30" s="191"/>
      <c r="AT30" s="191"/>
      <c r="AU30" s="191"/>
      <c r="AV30" s="191"/>
      <c r="AW30" s="191"/>
      <c r="AX30" s="191"/>
      <c r="AY30" s="191"/>
      <c r="AZ30" s="191"/>
      <c r="BA30" s="191"/>
    </row>
    <row r="31" spans="1:53" hidden="1">
      <c r="A31" s="191"/>
      <c r="B31" s="191"/>
      <c r="C31" s="191"/>
      <c r="D31" s="191"/>
      <c r="E31" s="191"/>
      <c r="F31" s="191"/>
      <c r="G31" s="191"/>
      <c r="H31" s="191"/>
      <c r="I31" s="191"/>
      <c r="J31" s="191"/>
      <c r="K31" s="191"/>
      <c r="L31" s="191"/>
      <c r="M31" s="191"/>
      <c r="N31" s="191"/>
      <c r="O31" s="191"/>
      <c r="P31" s="191"/>
      <c r="Q31" s="191"/>
      <c r="R31" s="191"/>
      <c r="S31" s="191"/>
      <c r="T31" s="191"/>
      <c r="U31" s="191"/>
      <c r="V31" s="191"/>
      <c r="W31" s="191"/>
      <c r="X31" s="191"/>
      <c r="Y31" s="191"/>
      <c r="Z31" s="191"/>
      <c r="AA31" s="191"/>
      <c r="AB31" s="191"/>
      <c r="AC31" s="191"/>
      <c r="AD31" s="191"/>
      <c r="AE31" s="191"/>
      <c r="AF31" s="191"/>
      <c r="AG31" s="191"/>
      <c r="AH31" s="191"/>
      <c r="AI31" s="191"/>
      <c r="AJ31" s="191"/>
      <c r="AK31" s="191"/>
      <c r="AL31" s="191"/>
      <c r="AM31" s="191"/>
      <c r="AN31" s="191"/>
      <c r="AO31" s="191"/>
      <c r="AP31" s="191"/>
      <c r="AQ31" s="191"/>
      <c r="AR31" s="191"/>
      <c r="AS31" s="191"/>
      <c r="AT31" s="191"/>
      <c r="AU31" s="191"/>
      <c r="AV31" s="191"/>
      <c r="AW31" s="191"/>
      <c r="AX31" s="191"/>
      <c r="AY31" s="191"/>
      <c r="AZ31" s="191"/>
      <c r="BA31" s="191"/>
    </row>
    <row r="32" spans="1:53" hidden="1">
      <c r="A32" s="191"/>
      <c r="B32" s="191"/>
      <c r="C32" s="191"/>
      <c r="D32" s="191"/>
      <c r="E32" s="191"/>
      <c r="F32" s="191"/>
      <c r="G32" s="191"/>
      <c r="H32" s="191"/>
      <c r="I32" s="191"/>
      <c r="J32" s="191"/>
      <c r="K32" s="191"/>
      <c r="L32" s="191"/>
      <c r="M32" s="191"/>
      <c r="N32" s="191"/>
      <c r="O32" s="191"/>
      <c r="P32" s="191"/>
      <c r="Q32" s="191"/>
      <c r="R32" s="191"/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1"/>
      <c r="AT32" s="191"/>
      <c r="AU32" s="191"/>
      <c r="AV32" s="191"/>
      <c r="AW32" s="191"/>
      <c r="AX32" s="191"/>
      <c r="AY32" s="191"/>
      <c r="AZ32" s="191"/>
      <c r="BA32" s="191"/>
    </row>
    <row r="33" spans="1:53" ht="18" hidden="1" customHeight="1">
      <c r="A33" s="191"/>
      <c r="B33" s="191"/>
      <c r="C33" s="191"/>
      <c r="D33" s="191"/>
      <c r="E33" s="191"/>
      <c r="F33" s="191"/>
      <c r="G33" s="191"/>
      <c r="H33" s="191"/>
      <c r="I33" s="191"/>
      <c r="J33" s="191"/>
      <c r="K33" s="191"/>
      <c r="L33" s="191"/>
      <c r="M33" s="191"/>
      <c r="N33" s="191"/>
      <c r="O33" s="191"/>
      <c r="P33" s="191"/>
      <c r="Q33" s="191"/>
      <c r="R33" s="191"/>
      <c r="S33" s="191"/>
      <c r="T33" s="191"/>
      <c r="U33" s="191"/>
      <c r="V33" s="191"/>
      <c r="W33" s="191"/>
      <c r="X33" s="191"/>
      <c r="Y33" s="191"/>
      <c r="Z33" s="191"/>
      <c r="AA33" s="191"/>
      <c r="AB33" s="191"/>
      <c r="AC33" s="191"/>
      <c r="AD33" s="191"/>
      <c r="AE33" s="191"/>
      <c r="AF33" s="191"/>
      <c r="AG33" s="191"/>
      <c r="AH33" s="191"/>
      <c r="AI33" s="191"/>
      <c r="AJ33" s="191"/>
      <c r="AK33" s="191"/>
      <c r="AL33" s="191"/>
      <c r="AM33" s="191"/>
      <c r="AN33" s="191"/>
      <c r="AO33" s="191"/>
      <c r="AP33" s="191"/>
      <c r="AQ33" s="191"/>
      <c r="AR33" s="191"/>
      <c r="AS33" s="191"/>
      <c r="AT33" s="191"/>
      <c r="AU33" s="191"/>
      <c r="AV33" s="191"/>
      <c r="AW33" s="191"/>
      <c r="AX33" s="191"/>
      <c r="AY33" s="191"/>
      <c r="AZ33" s="191"/>
      <c r="BA33" s="191"/>
    </row>
    <row r="34" spans="1:53" ht="18" hidden="1" customHeight="1">
      <c r="A34" s="191"/>
      <c r="B34" s="191"/>
      <c r="C34" s="191"/>
      <c r="D34" s="191"/>
      <c r="E34" s="191"/>
      <c r="F34" s="191"/>
      <c r="G34" s="191"/>
      <c r="H34" s="191"/>
      <c r="I34" s="191"/>
      <c r="J34" s="191"/>
      <c r="K34" s="191"/>
      <c r="L34" s="191"/>
      <c r="M34" s="191"/>
      <c r="N34" s="191"/>
      <c r="O34" s="191"/>
      <c r="P34" s="191"/>
      <c r="Q34" s="191"/>
      <c r="R34" s="191"/>
      <c r="S34" s="191"/>
      <c r="T34" s="191"/>
      <c r="U34" s="191"/>
      <c r="V34" s="191"/>
      <c r="W34" s="191"/>
      <c r="X34" s="191"/>
      <c r="Y34" s="191"/>
      <c r="Z34" s="191"/>
      <c r="AA34" s="191"/>
      <c r="AB34" s="191"/>
      <c r="AC34" s="191"/>
      <c r="AD34" s="191"/>
      <c r="AE34" s="191"/>
      <c r="AF34" s="191"/>
      <c r="AG34" s="191"/>
      <c r="AH34" s="191"/>
      <c r="AI34" s="191"/>
      <c r="AJ34" s="191"/>
      <c r="AK34" s="191"/>
      <c r="AL34" s="191"/>
      <c r="AM34" s="191"/>
      <c r="AN34" s="191"/>
      <c r="AO34" s="191"/>
      <c r="AP34" s="191"/>
      <c r="AQ34" s="191"/>
      <c r="AR34" s="191"/>
      <c r="AS34" s="191"/>
      <c r="AT34" s="191"/>
      <c r="AU34" s="191"/>
      <c r="AV34" s="191"/>
      <c r="AW34" s="191"/>
      <c r="AX34" s="191"/>
      <c r="AY34" s="191"/>
      <c r="AZ34" s="191"/>
      <c r="BA34" s="191"/>
    </row>
    <row r="35" spans="1:53" ht="18" hidden="1" customHeight="1">
      <c r="A35" s="191"/>
      <c r="B35" s="191"/>
      <c r="C35" s="191"/>
      <c r="D35" s="191"/>
      <c r="E35" s="191"/>
      <c r="F35" s="191"/>
      <c r="G35" s="191"/>
      <c r="H35" s="191"/>
      <c r="I35" s="191"/>
      <c r="J35" s="191"/>
      <c r="K35" s="191"/>
      <c r="L35" s="191"/>
      <c r="M35" s="191"/>
      <c r="N35" s="191"/>
      <c r="O35" s="191"/>
      <c r="P35" s="191"/>
      <c r="Q35" s="191"/>
      <c r="R35" s="191"/>
      <c r="S35" s="191"/>
      <c r="T35" s="191"/>
      <c r="U35" s="191"/>
      <c r="V35" s="191"/>
      <c r="W35" s="191"/>
      <c r="X35" s="191"/>
      <c r="Y35" s="191"/>
      <c r="Z35" s="191"/>
      <c r="AA35" s="191"/>
      <c r="AB35" s="191"/>
      <c r="AC35" s="191"/>
      <c r="AD35" s="191"/>
      <c r="AE35" s="191"/>
      <c r="AF35" s="191"/>
      <c r="AG35" s="191"/>
      <c r="AH35" s="191"/>
      <c r="AI35" s="191"/>
      <c r="AJ35" s="191"/>
      <c r="AK35" s="191"/>
      <c r="AL35" s="191"/>
      <c r="AM35" s="191"/>
      <c r="AN35" s="191"/>
      <c r="AO35" s="191"/>
      <c r="AP35" s="191"/>
      <c r="AQ35" s="191"/>
      <c r="AR35" s="191"/>
      <c r="AS35" s="191"/>
      <c r="AT35" s="191"/>
      <c r="AU35" s="191"/>
      <c r="AV35" s="191"/>
      <c r="AW35" s="191"/>
      <c r="AX35" s="191"/>
      <c r="AY35" s="191"/>
      <c r="AZ35" s="191"/>
      <c r="BA35" s="191"/>
    </row>
    <row r="36" spans="1:53" ht="18" hidden="1" customHeight="1">
      <c r="A36" s="191"/>
      <c r="B36" s="191"/>
      <c r="C36" s="191"/>
      <c r="D36" s="191"/>
      <c r="E36" s="191"/>
      <c r="F36" s="191"/>
      <c r="G36" s="191"/>
      <c r="H36" s="191"/>
      <c r="I36" s="191"/>
      <c r="J36" s="191"/>
      <c r="K36" s="191"/>
      <c r="L36" s="191"/>
      <c r="M36" s="191"/>
      <c r="N36" s="191"/>
      <c r="O36" s="191"/>
      <c r="P36" s="191"/>
      <c r="Q36" s="191"/>
      <c r="R36" s="191"/>
      <c r="S36" s="191"/>
      <c r="T36" s="191"/>
      <c r="U36" s="191"/>
      <c r="V36" s="191"/>
      <c r="W36" s="191"/>
      <c r="X36" s="191"/>
      <c r="Y36" s="191"/>
      <c r="Z36" s="191"/>
      <c r="AA36" s="191"/>
      <c r="AB36" s="191"/>
      <c r="AC36" s="191"/>
      <c r="AD36" s="191"/>
      <c r="AE36" s="191"/>
      <c r="AF36" s="191"/>
      <c r="AG36" s="191"/>
      <c r="AH36" s="191"/>
      <c r="AI36" s="191"/>
      <c r="AJ36" s="191"/>
      <c r="AK36" s="191"/>
      <c r="AL36" s="191"/>
      <c r="AM36" s="191"/>
      <c r="AN36" s="191"/>
      <c r="AO36" s="191"/>
      <c r="AP36" s="191"/>
      <c r="AQ36" s="191"/>
      <c r="AR36" s="191"/>
      <c r="AS36" s="191"/>
      <c r="AT36" s="191"/>
      <c r="AU36" s="191"/>
      <c r="AV36" s="191"/>
      <c r="AW36" s="191"/>
      <c r="AX36" s="191"/>
      <c r="AY36" s="191"/>
      <c r="AZ36" s="191"/>
      <c r="BA36" s="191"/>
    </row>
    <row r="37" spans="1:53" ht="18" hidden="1" customHeight="1">
      <c r="A37" s="191"/>
      <c r="B37" s="191"/>
      <c r="C37" s="191"/>
      <c r="D37" s="191"/>
      <c r="E37" s="191"/>
      <c r="F37" s="191"/>
      <c r="G37" s="191"/>
      <c r="H37" s="191"/>
      <c r="I37" s="191"/>
      <c r="J37" s="191"/>
      <c r="K37" s="191"/>
      <c r="L37" s="191"/>
      <c r="M37" s="191"/>
      <c r="N37" s="191"/>
      <c r="O37" s="191"/>
      <c r="P37" s="191"/>
      <c r="Q37" s="191"/>
      <c r="R37" s="191"/>
      <c r="S37" s="191"/>
      <c r="T37" s="191"/>
      <c r="U37" s="191"/>
      <c r="V37" s="191"/>
      <c r="W37" s="191"/>
      <c r="X37" s="191"/>
      <c r="Y37" s="191"/>
      <c r="Z37" s="191"/>
      <c r="AA37" s="191"/>
      <c r="AB37" s="191"/>
      <c r="AC37" s="191"/>
      <c r="AD37" s="191"/>
      <c r="AE37" s="191"/>
      <c r="AF37" s="191"/>
      <c r="AG37" s="191"/>
      <c r="AH37" s="191"/>
      <c r="AI37" s="191"/>
      <c r="AJ37" s="191"/>
      <c r="AK37" s="191"/>
      <c r="AL37" s="191"/>
      <c r="AM37" s="191"/>
      <c r="AN37" s="191"/>
      <c r="AO37" s="191"/>
      <c r="AP37" s="191"/>
      <c r="AQ37" s="191"/>
      <c r="AR37" s="191"/>
      <c r="AS37" s="191"/>
      <c r="AT37" s="191"/>
      <c r="AU37" s="191"/>
      <c r="AV37" s="191"/>
      <c r="AW37" s="191"/>
      <c r="AX37" s="191"/>
      <c r="AY37" s="191"/>
      <c r="AZ37" s="191"/>
      <c r="BA37" s="191"/>
    </row>
    <row r="38" spans="1:53" ht="18" hidden="1" customHeight="1">
      <c r="A38" s="191"/>
      <c r="B38" s="191"/>
      <c r="C38" s="191"/>
      <c r="D38" s="191"/>
      <c r="E38" s="191"/>
      <c r="F38" s="191"/>
      <c r="G38" s="191"/>
      <c r="H38" s="191"/>
      <c r="I38" s="191"/>
      <c r="J38" s="191"/>
      <c r="K38" s="191"/>
      <c r="L38" s="191"/>
      <c r="M38" s="191"/>
      <c r="N38" s="191"/>
      <c r="O38" s="191"/>
      <c r="P38" s="191"/>
      <c r="Q38" s="191"/>
      <c r="R38" s="191"/>
      <c r="S38" s="191"/>
      <c r="T38" s="191"/>
      <c r="U38" s="191"/>
      <c r="V38" s="191"/>
      <c r="W38" s="191"/>
      <c r="X38" s="191"/>
      <c r="Y38" s="191"/>
      <c r="Z38" s="191"/>
      <c r="AA38" s="191"/>
      <c r="AB38" s="191"/>
      <c r="AC38" s="191"/>
      <c r="AD38" s="191"/>
      <c r="AE38" s="191"/>
      <c r="AF38" s="191"/>
      <c r="AG38" s="191"/>
      <c r="AH38" s="191"/>
      <c r="AI38" s="191"/>
      <c r="AJ38" s="191"/>
      <c r="AK38" s="191"/>
      <c r="AL38" s="191"/>
      <c r="AM38" s="191"/>
      <c r="AN38" s="191"/>
      <c r="AO38" s="191"/>
      <c r="AP38" s="191"/>
      <c r="AQ38" s="191"/>
      <c r="AR38" s="191"/>
      <c r="AS38" s="191"/>
      <c r="AT38" s="191"/>
      <c r="AU38" s="191"/>
      <c r="AV38" s="191"/>
      <c r="AW38" s="191"/>
      <c r="AX38" s="191"/>
      <c r="AY38" s="191"/>
      <c r="AZ38" s="191"/>
      <c r="BA38" s="191"/>
    </row>
    <row r="39" spans="1:53" ht="18" hidden="1" customHeight="1">
      <c r="A39" s="191"/>
      <c r="B39" s="191"/>
      <c r="C39" s="191"/>
      <c r="D39" s="191"/>
      <c r="E39" s="191"/>
      <c r="F39" s="191"/>
      <c r="G39" s="191"/>
      <c r="H39" s="191"/>
      <c r="I39" s="191"/>
      <c r="J39" s="191"/>
      <c r="K39" s="191"/>
      <c r="L39" s="191"/>
      <c r="M39" s="191"/>
      <c r="N39" s="191"/>
      <c r="O39" s="191"/>
      <c r="P39" s="191"/>
      <c r="Q39" s="191"/>
      <c r="R39" s="191"/>
      <c r="S39" s="191"/>
      <c r="T39" s="191"/>
      <c r="U39" s="191"/>
      <c r="V39" s="191"/>
      <c r="W39" s="191"/>
      <c r="X39" s="191"/>
      <c r="Y39" s="191"/>
      <c r="Z39" s="191"/>
      <c r="AA39" s="191"/>
      <c r="AB39" s="191"/>
      <c r="AC39" s="191"/>
      <c r="AD39" s="191"/>
      <c r="AE39" s="191"/>
      <c r="AF39" s="191"/>
      <c r="AG39" s="191"/>
      <c r="AH39" s="191"/>
      <c r="AI39" s="191"/>
      <c r="AJ39" s="191"/>
      <c r="AK39" s="191"/>
      <c r="AL39" s="191"/>
      <c r="AM39" s="191"/>
      <c r="AN39" s="191"/>
      <c r="AO39" s="191"/>
      <c r="AP39" s="191"/>
      <c r="AQ39" s="191"/>
      <c r="AR39" s="191"/>
      <c r="AS39" s="191"/>
      <c r="AT39" s="191"/>
      <c r="AU39" s="191"/>
      <c r="AV39" s="191"/>
      <c r="AW39" s="191"/>
      <c r="AX39" s="191"/>
      <c r="AY39" s="191"/>
      <c r="AZ39" s="191"/>
      <c r="BA39" s="191"/>
    </row>
    <row r="40" spans="1:53" ht="18" hidden="1" customHeight="1">
      <c r="A40" s="191"/>
      <c r="B40" s="191"/>
      <c r="C40" s="191"/>
      <c r="D40" s="191"/>
      <c r="E40" s="191"/>
      <c r="F40" s="191"/>
      <c r="G40" s="191"/>
      <c r="H40" s="191"/>
      <c r="I40" s="191"/>
      <c r="J40" s="191"/>
      <c r="K40" s="191"/>
      <c r="L40" s="191"/>
      <c r="M40" s="191"/>
      <c r="N40" s="191"/>
      <c r="O40" s="191"/>
      <c r="P40" s="191"/>
      <c r="Q40" s="191"/>
      <c r="R40" s="191"/>
      <c r="S40" s="191"/>
      <c r="T40" s="191"/>
      <c r="U40" s="191"/>
      <c r="V40" s="191"/>
      <c r="W40" s="191"/>
      <c r="X40" s="191"/>
      <c r="Y40" s="191"/>
      <c r="Z40" s="191"/>
      <c r="AA40" s="191"/>
      <c r="AB40" s="191"/>
      <c r="AC40" s="191"/>
      <c r="AD40" s="191"/>
      <c r="AE40" s="191"/>
      <c r="AF40" s="191"/>
      <c r="AG40" s="191"/>
      <c r="AH40" s="191"/>
      <c r="AI40" s="191"/>
      <c r="AJ40" s="191"/>
      <c r="AK40" s="191"/>
      <c r="AL40" s="191"/>
      <c r="AM40" s="191"/>
      <c r="AN40" s="191"/>
      <c r="AO40" s="191"/>
      <c r="AP40" s="191"/>
      <c r="AQ40" s="191"/>
      <c r="AR40" s="191"/>
      <c r="AS40" s="191"/>
      <c r="AT40" s="191"/>
      <c r="AU40" s="191"/>
      <c r="AV40" s="191"/>
      <c r="AW40" s="191"/>
      <c r="AX40" s="191"/>
      <c r="AY40" s="191"/>
      <c r="AZ40" s="191"/>
      <c r="BA40" s="191"/>
    </row>
    <row r="41" spans="1:53" ht="18" hidden="1" customHeight="1">
      <c r="A41" s="191"/>
      <c r="B41" s="191"/>
      <c r="C41" s="191"/>
      <c r="D41" s="191"/>
      <c r="E41" s="191"/>
      <c r="F41" s="191"/>
      <c r="G41" s="191"/>
      <c r="H41" s="191"/>
      <c r="I41" s="191"/>
      <c r="J41" s="191"/>
      <c r="K41" s="191"/>
      <c r="L41" s="191"/>
      <c r="M41" s="191"/>
      <c r="N41" s="191"/>
      <c r="O41" s="191"/>
      <c r="P41" s="191"/>
      <c r="Q41" s="191"/>
      <c r="R41" s="191"/>
      <c r="S41" s="191"/>
      <c r="T41" s="191"/>
      <c r="U41" s="191"/>
      <c r="V41" s="191"/>
      <c r="W41" s="191"/>
      <c r="X41" s="191"/>
      <c r="Y41" s="191"/>
      <c r="Z41" s="191"/>
      <c r="AA41" s="191"/>
      <c r="AB41" s="191"/>
      <c r="AC41" s="191"/>
      <c r="AD41" s="191"/>
      <c r="AE41" s="191"/>
      <c r="AF41" s="191"/>
      <c r="AG41" s="191"/>
      <c r="AH41" s="191"/>
      <c r="AI41" s="191"/>
      <c r="AJ41" s="191"/>
      <c r="AK41" s="191"/>
      <c r="AL41" s="191"/>
      <c r="AM41" s="191"/>
      <c r="AN41" s="191"/>
      <c r="AO41" s="191"/>
      <c r="AP41" s="191"/>
      <c r="AQ41" s="191"/>
      <c r="AR41" s="191"/>
      <c r="AS41" s="191"/>
      <c r="AT41" s="191"/>
      <c r="AU41" s="191"/>
      <c r="AV41" s="191"/>
      <c r="AW41" s="191"/>
      <c r="AX41" s="191"/>
      <c r="AY41" s="191"/>
      <c r="AZ41" s="191"/>
      <c r="BA41" s="191"/>
    </row>
    <row r="42" spans="1:53" hidden="1">
      <c r="A42" s="191"/>
      <c r="B42" s="191"/>
      <c r="C42" s="191"/>
      <c r="D42" s="191"/>
      <c r="E42" s="191"/>
      <c r="F42" s="191"/>
      <c r="G42" s="191"/>
      <c r="H42" s="191"/>
      <c r="I42" s="191"/>
      <c r="J42" s="191"/>
      <c r="K42" s="191"/>
      <c r="L42" s="191"/>
      <c r="M42" s="191"/>
      <c r="N42" s="191"/>
      <c r="O42" s="191"/>
      <c r="P42" s="191"/>
      <c r="Q42" s="191"/>
      <c r="R42" s="191"/>
      <c r="S42" s="191"/>
      <c r="T42" s="191"/>
      <c r="U42" s="191"/>
      <c r="V42" s="191"/>
      <c r="W42" s="191"/>
      <c r="X42" s="191"/>
      <c r="Y42" s="191"/>
      <c r="Z42" s="191"/>
      <c r="AA42" s="191"/>
      <c r="AB42" s="191"/>
      <c r="AC42" s="191"/>
      <c r="AD42" s="191"/>
      <c r="AE42" s="191"/>
      <c r="AF42" s="191"/>
      <c r="AG42" s="191"/>
      <c r="AH42" s="191"/>
      <c r="AI42" s="191"/>
      <c r="AJ42" s="191"/>
      <c r="AK42" s="191"/>
      <c r="AL42" s="191"/>
      <c r="AM42" s="191"/>
      <c r="AN42" s="191"/>
      <c r="AO42" s="191"/>
      <c r="AP42" s="191"/>
      <c r="AQ42" s="191"/>
      <c r="AR42" s="191"/>
      <c r="AS42" s="191"/>
      <c r="AT42" s="191"/>
      <c r="AU42" s="191"/>
      <c r="AV42" s="191"/>
      <c r="AW42" s="191"/>
      <c r="AX42" s="191"/>
      <c r="AY42" s="191"/>
      <c r="AZ42" s="191"/>
      <c r="BA42" s="191"/>
    </row>
    <row r="43" spans="1:53" hidden="1">
      <c r="A43" s="191"/>
      <c r="B43" s="191"/>
      <c r="C43" s="191"/>
      <c r="D43" s="191"/>
      <c r="E43" s="191"/>
      <c r="F43" s="191"/>
      <c r="G43" s="191"/>
      <c r="H43" s="191"/>
      <c r="I43" s="191"/>
      <c r="J43" s="191"/>
      <c r="K43" s="191"/>
      <c r="L43" s="191"/>
      <c r="M43" s="191"/>
      <c r="N43" s="191"/>
      <c r="O43" s="191"/>
      <c r="P43" s="191"/>
      <c r="Q43" s="191"/>
      <c r="R43" s="191"/>
      <c r="S43" s="191"/>
      <c r="T43" s="191"/>
      <c r="U43" s="191"/>
      <c r="V43" s="191"/>
      <c r="W43" s="191"/>
      <c r="X43" s="191"/>
      <c r="Y43" s="191"/>
      <c r="Z43" s="191"/>
      <c r="AA43" s="191"/>
      <c r="AB43" s="191"/>
      <c r="AC43" s="191"/>
      <c r="AD43" s="191"/>
      <c r="AE43" s="191"/>
      <c r="AF43" s="191"/>
      <c r="AG43" s="191"/>
      <c r="AH43" s="191"/>
      <c r="AI43" s="191"/>
      <c r="AJ43" s="191"/>
      <c r="AK43" s="191"/>
      <c r="AL43" s="191"/>
      <c r="AM43" s="191"/>
      <c r="AN43" s="191"/>
      <c r="AO43" s="191"/>
      <c r="AP43" s="191"/>
      <c r="AQ43" s="191"/>
      <c r="AR43" s="191"/>
      <c r="AS43" s="191"/>
      <c r="AT43" s="191"/>
      <c r="AU43" s="191"/>
      <c r="AV43" s="191"/>
      <c r="AW43" s="191"/>
      <c r="AX43" s="191"/>
      <c r="AY43" s="191"/>
      <c r="AZ43" s="191"/>
      <c r="BA43" s="191"/>
    </row>
    <row r="44" spans="1:53" hidden="1">
      <c r="A44" s="191"/>
      <c r="B44" s="191"/>
      <c r="C44" s="191"/>
      <c r="D44" s="191"/>
      <c r="E44" s="191"/>
      <c r="F44" s="191"/>
      <c r="G44" s="191"/>
      <c r="H44" s="191"/>
      <c r="I44" s="191"/>
      <c r="J44" s="191"/>
      <c r="K44" s="191"/>
      <c r="L44" s="191"/>
      <c r="M44" s="191"/>
      <c r="N44" s="191"/>
      <c r="O44" s="191"/>
      <c r="P44" s="191"/>
      <c r="Q44" s="191"/>
      <c r="R44" s="191"/>
      <c r="S44" s="191"/>
      <c r="T44" s="191"/>
      <c r="U44" s="191"/>
      <c r="V44" s="191"/>
      <c r="W44" s="191"/>
      <c r="X44" s="191"/>
      <c r="Y44" s="191"/>
      <c r="Z44" s="191"/>
      <c r="AA44" s="191"/>
      <c r="AB44" s="191"/>
      <c r="AC44" s="191"/>
      <c r="AD44" s="191"/>
      <c r="AE44" s="191"/>
      <c r="AF44" s="191"/>
      <c r="AG44" s="191"/>
      <c r="AH44" s="191"/>
      <c r="AI44" s="191"/>
      <c r="AJ44" s="191"/>
      <c r="AK44" s="191"/>
      <c r="AL44" s="191"/>
      <c r="AM44" s="191"/>
      <c r="AN44" s="191"/>
      <c r="AO44" s="191"/>
      <c r="AP44" s="191"/>
      <c r="AQ44" s="191"/>
      <c r="AR44" s="191"/>
      <c r="AS44" s="191"/>
      <c r="AT44" s="191"/>
      <c r="AU44" s="191"/>
      <c r="AV44" s="191"/>
      <c r="AW44" s="191"/>
      <c r="AX44" s="191"/>
      <c r="AY44" s="191"/>
      <c r="AZ44" s="191"/>
      <c r="BA44" s="191"/>
    </row>
    <row r="45" spans="1:53" hidden="1">
      <c r="A45" s="191"/>
      <c r="B45" s="191"/>
      <c r="C45" s="191"/>
      <c r="D45" s="191"/>
      <c r="E45" s="191"/>
      <c r="F45" s="191"/>
      <c r="G45" s="191"/>
      <c r="H45" s="191"/>
      <c r="I45" s="191"/>
      <c r="J45" s="191"/>
      <c r="K45" s="191"/>
      <c r="L45" s="191"/>
      <c r="M45" s="191"/>
      <c r="N45" s="191"/>
      <c r="O45" s="191"/>
      <c r="P45" s="191"/>
      <c r="Q45" s="191"/>
      <c r="R45" s="191"/>
      <c r="S45" s="191"/>
      <c r="T45" s="191"/>
      <c r="U45" s="191"/>
      <c r="V45" s="191"/>
      <c r="W45" s="191"/>
      <c r="X45" s="191"/>
      <c r="Y45" s="191"/>
      <c r="Z45" s="191"/>
      <c r="AA45" s="191"/>
      <c r="AB45" s="191"/>
      <c r="AC45" s="191"/>
      <c r="AD45" s="191"/>
      <c r="AE45" s="191"/>
      <c r="AF45" s="191"/>
      <c r="AG45" s="191"/>
      <c r="AH45" s="191"/>
      <c r="AI45" s="191"/>
      <c r="AJ45" s="191"/>
      <c r="AK45" s="191"/>
      <c r="AL45" s="191"/>
      <c r="AM45" s="191"/>
      <c r="AN45" s="191"/>
      <c r="AO45" s="191"/>
      <c r="AP45" s="191"/>
      <c r="AQ45" s="191"/>
      <c r="AR45" s="191"/>
      <c r="AS45" s="191"/>
      <c r="AT45" s="191"/>
      <c r="AU45" s="191"/>
      <c r="AV45" s="191"/>
      <c r="AW45" s="191"/>
      <c r="AX45" s="191"/>
      <c r="AY45" s="191"/>
      <c r="AZ45" s="191"/>
      <c r="BA45" s="191"/>
    </row>
    <row r="46" spans="1:53" hidden="1">
      <c r="A46" s="191"/>
      <c r="B46" s="191"/>
      <c r="C46" s="191"/>
      <c r="D46" s="191"/>
      <c r="E46" s="191"/>
      <c r="F46" s="191"/>
      <c r="G46" s="191"/>
      <c r="H46" s="191"/>
      <c r="I46" s="191"/>
      <c r="J46" s="191"/>
      <c r="K46" s="191"/>
      <c r="L46" s="191"/>
      <c r="M46" s="191"/>
      <c r="N46" s="191"/>
      <c r="O46" s="191"/>
      <c r="P46" s="191"/>
      <c r="Q46" s="191"/>
      <c r="R46" s="191"/>
      <c r="S46" s="191"/>
      <c r="T46" s="191"/>
      <c r="U46" s="191"/>
      <c r="V46" s="191"/>
      <c r="W46" s="191"/>
      <c r="X46" s="191"/>
      <c r="Y46" s="191"/>
      <c r="Z46" s="191"/>
      <c r="AA46" s="191"/>
      <c r="AB46" s="191"/>
      <c r="AC46" s="191"/>
      <c r="AD46" s="191"/>
      <c r="AE46" s="191"/>
      <c r="AF46" s="191"/>
      <c r="AG46" s="191"/>
      <c r="AH46" s="191"/>
      <c r="AI46" s="191"/>
      <c r="AJ46" s="191"/>
      <c r="AK46" s="191"/>
      <c r="AL46" s="191"/>
      <c r="AM46" s="191"/>
      <c r="AN46" s="191"/>
      <c r="AO46" s="191"/>
      <c r="AP46" s="191"/>
      <c r="AQ46" s="191"/>
      <c r="AR46" s="191"/>
      <c r="AS46" s="191"/>
      <c r="AT46" s="191"/>
      <c r="AU46" s="191"/>
      <c r="AV46" s="191"/>
      <c r="AW46" s="191"/>
      <c r="AX46" s="191"/>
      <c r="AY46" s="191"/>
      <c r="AZ46" s="191"/>
      <c r="BA46" s="191"/>
    </row>
    <row r="47" spans="1:53" hidden="1">
      <c r="A47" s="191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T47" s="191"/>
      <c r="U47" s="191"/>
      <c r="V47" s="191"/>
      <c r="W47" s="191"/>
      <c r="X47" s="191"/>
      <c r="Y47" s="191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191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</row>
    <row r="48" spans="1:53" hidden="1">
      <c r="A48" s="191"/>
      <c r="B48" s="191"/>
      <c r="C48" s="191"/>
      <c r="D48" s="191"/>
      <c r="E48" s="191"/>
      <c r="F48" s="191"/>
      <c r="G48" s="191"/>
      <c r="H48" s="191"/>
      <c r="I48" s="191"/>
      <c r="J48" s="191"/>
      <c r="K48" s="191"/>
      <c r="L48" s="191"/>
      <c r="M48" s="191"/>
      <c r="N48" s="191"/>
      <c r="O48" s="191"/>
      <c r="P48" s="191"/>
      <c r="Q48" s="191"/>
      <c r="R48" s="191"/>
      <c r="S48" s="191"/>
      <c r="T48" s="191"/>
      <c r="U48" s="191"/>
      <c r="V48" s="191"/>
      <c r="W48" s="191"/>
      <c r="X48" s="191"/>
      <c r="Y48" s="191"/>
      <c r="Z48" s="191"/>
      <c r="AA48" s="191"/>
      <c r="AB48" s="191"/>
      <c r="AC48" s="191"/>
      <c r="AD48" s="191"/>
      <c r="AE48" s="191"/>
      <c r="AF48" s="191"/>
      <c r="AG48" s="191"/>
      <c r="AH48" s="191"/>
      <c r="AI48" s="191"/>
      <c r="AJ48" s="191"/>
      <c r="AK48" s="191"/>
      <c r="AL48" s="191"/>
      <c r="AM48" s="191"/>
      <c r="AN48" s="191"/>
      <c r="AO48" s="191"/>
      <c r="AP48" s="191"/>
      <c r="AQ48" s="191"/>
      <c r="AR48" s="191"/>
      <c r="AS48" s="191"/>
      <c r="AT48" s="191"/>
      <c r="AU48" s="191"/>
      <c r="AV48" s="191"/>
      <c r="AW48" s="191"/>
      <c r="AX48" s="191"/>
      <c r="AY48" s="191"/>
      <c r="AZ48" s="191"/>
      <c r="BA48" s="191"/>
    </row>
    <row r="49" spans="1:53" hidden="1">
      <c r="A49" s="191"/>
      <c r="B49" s="191"/>
      <c r="C49" s="191"/>
      <c r="D49" s="191"/>
      <c r="E49" s="191"/>
      <c r="F49" s="191"/>
      <c r="G49" s="191"/>
      <c r="H49" s="191"/>
      <c r="I49" s="191"/>
      <c r="J49" s="191"/>
      <c r="K49" s="191"/>
      <c r="L49" s="191"/>
      <c r="M49" s="191"/>
      <c r="N49" s="191"/>
      <c r="O49" s="191"/>
      <c r="P49" s="191"/>
      <c r="Q49" s="191"/>
      <c r="R49" s="191"/>
      <c r="S49" s="191"/>
      <c r="T49" s="191"/>
      <c r="U49" s="191"/>
      <c r="V49" s="191"/>
      <c r="W49" s="191"/>
      <c r="X49" s="191"/>
      <c r="Y49" s="191"/>
      <c r="Z49" s="191"/>
      <c r="AA49" s="191"/>
      <c r="AB49" s="191"/>
      <c r="AC49" s="191"/>
      <c r="AD49" s="191"/>
      <c r="AE49" s="191"/>
      <c r="AF49" s="191"/>
      <c r="AG49" s="191"/>
      <c r="AH49" s="191"/>
      <c r="AI49" s="191"/>
      <c r="AJ49" s="191"/>
      <c r="AK49" s="191"/>
      <c r="AL49" s="191"/>
      <c r="AM49" s="191"/>
      <c r="AN49" s="191"/>
      <c r="AO49" s="191"/>
      <c r="AP49" s="191"/>
      <c r="AQ49" s="191"/>
      <c r="AR49" s="191"/>
      <c r="AS49" s="191"/>
      <c r="AT49" s="191"/>
      <c r="AU49" s="191"/>
      <c r="AV49" s="191"/>
      <c r="AW49" s="191"/>
      <c r="AX49" s="191"/>
      <c r="AY49" s="191"/>
      <c r="AZ49" s="191"/>
      <c r="BA49" s="191"/>
    </row>
    <row r="50" spans="1:53" hidden="1">
      <c r="A50" s="191"/>
      <c r="B50" s="191"/>
      <c r="C50" s="191"/>
      <c r="D50" s="191"/>
      <c r="E50" s="191"/>
      <c r="F50" s="191"/>
      <c r="G50" s="191"/>
      <c r="H50" s="191"/>
      <c r="I50" s="191"/>
      <c r="J50" s="191"/>
      <c r="K50" s="191"/>
      <c r="L50" s="191"/>
      <c r="M50" s="191"/>
      <c r="N50" s="191"/>
      <c r="O50" s="191"/>
      <c r="P50" s="191"/>
      <c r="Q50" s="191"/>
      <c r="R50" s="191"/>
      <c r="S50" s="191"/>
      <c r="T50" s="191"/>
      <c r="U50" s="191"/>
      <c r="V50" s="191"/>
      <c r="W50" s="191"/>
      <c r="X50" s="191"/>
      <c r="Y50" s="191"/>
      <c r="Z50" s="191"/>
      <c r="AA50" s="191"/>
      <c r="AB50" s="191"/>
      <c r="AC50" s="191"/>
      <c r="AD50" s="191"/>
      <c r="AE50" s="191"/>
      <c r="AF50" s="191"/>
      <c r="AG50" s="191"/>
      <c r="AH50" s="191"/>
      <c r="AI50" s="191"/>
      <c r="AJ50" s="191"/>
      <c r="AK50" s="191"/>
      <c r="AL50" s="191"/>
      <c r="AM50" s="191"/>
      <c r="AN50" s="191"/>
      <c r="AO50" s="191"/>
      <c r="AP50" s="191"/>
      <c r="AQ50" s="191"/>
      <c r="AR50" s="191"/>
      <c r="AS50" s="191"/>
      <c r="AT50" s="191"/>
      <c r="AU50" s="191"/>
      <c r="AV50" s="191"/>
      <c r="AW50" s="191"/>
      <c r="AX50" s="191"/>
      <c r="AY50" s="191"/>
      <c r="AZ50" s="191"/>
      <c r="BA50" s="191"/>
    </row>
    <row r="51" spans="1:53" hidden="1">
      <c r="A51" s="191"/>
      <c r="B51" s="191"/>
      <c r="C51" s="191"/>
      <c r="D51" s="191"/>
      <c r="E51" s="191"/>
      <c r="F51" s="191"/>
      <c r="G51" s="191"/>
      <c r="H51" s="191"/>
      <c r="I51" s="191"/>
      <c r="J51" s="191"/>
      <c r="K51" s="191"/>
      <c r="L51" s="191"/>
      <c r="M51" s="191"/>
      <c r="N51" s="191"/>
      <c r="O51" s="191"/>
      <c r="P51" s="191"/>
      <c r="Q51" s="191"/>
      <c r="R51" s="191"/>
      <c r="S51" s="191"/>
      <c r="T51" s="191"/>
      <c r="U51" s="191"/>
      <c r="V51" s="191"/>
      <c r="W51" s="191"/>
      <c r="X51" s="191"/>
      <c r="Y51" s="191"/>
      <c r="Z51" s="191"/>
      <c r="AA51" s="191"/>
      <c r="AB51" s="191"/>
      <c r="AC51" s="191"/>
      <c r="AD51" s="191"/>
      <c r="AE51" s="191"/>
      <c r="AF51" s="191"/>
      <c r="AG51" s="191"/>
      <c r="AH51" s="191"/>
      <c r="AI51" s="191"/>
      <c r="AJ51" s="191"/>
      <c r="AK51" s="191"/>
      <c r="AL51" s="191"/>
      <c r="AM51" s="191"/>
      <c r="AN51" s="191"/>
      <c r="AO51" s="191"/>
      <c r="AP51" s="191"/>
      <c r="AQ51" s="191"/>
      <c r="AR51" s="191"/>
      <c r="AS51" s="191"/>
      <c r="AT51" s="191"/>
      <c r="AU51" s="191"/>
      <c r="AV51" s="191"/>
      <c r="AW51" s="191"/>
      <c r="AX51" s="191"/>
      <c r="AY51" s="191"/>
      <c r="AZ51" s="191"/>
      <c r="BA51" s="191"/>
    </row>
    <row r="52" spans="1:53" hidden="1">
      <c r="A52" s="191"/>
      <c r="B52" s="191"/>
      <c r="C52" s="191"/>
      <c r="D52" s="191"/>
      <c r="E52" s="191"/>
      <c r="F52" s="191"/>
      <c r="G52" s="191"/>
      <c r="H52" s="191"/>
      <c r="I52" s="191"/>
      <c r="J52" s="191"/>
      <c r="K52" s="191"/>
      <c r="L52" s="191"/>
      <c r="M52" s="191"/>
      <c r="N52" s="191"/>
      <c r="O52" s="191"/>
      <c r="P52" s="191"/>
      <c r="Q52" s="191"/>
      <c r="R52" s="191"/>
      <c r="S52" s="191"/>
      <c r="T52" s="191"/>
      <c r="U52" s="191"/>
      <c r="V52" s="191"/>
      <c r="W52" s="191"/>
      <c r="X52" s="191"/>
      <c r="Y52" s="191"/>
      <c r="Z52" s="191"/>
      <c r="AA52" s="191"/>
      <c r="AB52" s="191"/>
      <c r="AC52" s="191"/>
      <c r="AD52" s="191"/>
      <c r="AE52" s="191"/>
      <c r="AF52" s="191"/>
      <c r="AG52" s="191"/>
      <c r="AH52" s="191"/>
      <c r="AI52" s="191"/>
      <c r="AJ52" s="191"/>
      <c r="AK52" s="191"/>
      <c r="AL52" s="191"/>
      <c r="AM52" s="191"/>
      <c r="AN52" s="191"/>
      <c r="AO52" s="191"/>
      <c r="AP52" s="191"/>
      <c r="AQ52" s="191"/>
      <c r="AR52" s="191"/>
      <c r="AS52" s="191"/>
      <c r="AT52" s="191"/>
      <c r="AU52" s="191"/>
      <c r="AV52" s="191"/>
      <c r="AW52" s="191"/>
      <c r="AX52" s="191"/>
      <c r="AY52" s="191"/>
      <c r="AZ52" s="191"/>
      <c r="BA52" s="191"/>
    </row>
    <row r="53" spans="1:53" hidden="1">
      <c r="A53" s="191"/>
      <c r="B53" s="191"/>
      <c r="C53" s="191"/>
      <c r="D53" s="191"/>
      <c r="E53" s="191"/>
      <c r="F53" s="191"/>
      <c r="G53" s="191"/>
      <c r="H53" s="191"/>
      <c r="I53" s="191"/>
      <c r="J53" s="191"/>
      <c r="K53" s="191"/>
      <c r="L53" s="191"/>
      <c r="M53" s="191"/>
      <c r="N53" s="191"/>
      <c r="O53" s="191"/>
      <c r="P53" s="191"/>
      <c r="Q53" s="191"/>
      <c r="R53" s="191"/>
      <c r="S53" s="191"/>
      <c r="T53" s="191"/>
      <c r="U53" s="191"/>
      <c r="V53" s="191"/>
      <c r="W53" s="191"/>
      <c r="X53" s="191"/>
      <c r="Y53" s="191"/>
      <c r="Z53" s="191"/>
      <c r="AA53" s="191"/>
      <c r="AB53" s="191"/>
      <c r="AC53" s="191"/>
      <c r="AD53" s="191"/>
      <c r="AE53" s="191"/>
      <c r="AF53" s="191"/>
      <c r="AG53" s="191"/>
      <c r="AH53" s="191"/>
      <c r="AI53" s="191"/>
      <c r="AJ53" s="191"/>
      <c r="AK53" s="191"/>
      <c r="AL53" s="191"/>
      <c r="AM53" s="191"/>
      <c r="AN53" s="191"/>
      <c r="AO53" s="191"/>
      <c r="AP53" s="191"/>
      <c r="AQ53" s="191"/>
      <c r="AR53" s="191"/>
      <c r="AS53" s="191"/>
      <c r="AT53" s="191"/>
      <c r="AU53" s="191"/>
      <c r="AV53" s="191"/>
      <c r="AW53" s="191"/>
      <c r="AX53" s="191"/>
      <c r="AY53" s="191"/>
      <c r="AZ53" s="191"/>
      <c r="BA53" s="191"/>
    </row>
    <row r="54" spans="1:53" hidden="1">
      <c r="A54" s="191"/>
      <c r="B54" s="191"/>
      <c r="C54" s="191"/>
      <c r="D54" s="191"/>
      <c r="E54" s="191"/>
      <c r="F54" s="191"/>
      <c r="G54" s="191"/>
      <c r="H54" s="191"/>
      <c r="I54" s="191"/>
      <c r="J54" s="191"/>
      <c r="K54" s="191"/>
      <c r="L54" s="191"/>
      <c r="M54" s="191"/>
      <c r="N54" s="191"/>
      <c r="O54" s="191"/>
      <c r="P54" s="191"/>
      <c r="Q54" s="191"/>
      <c r="R54" s="191"/>
      <c r="S54" s="191"/>
      <c r="T54" s="191"/>
      <c r="U54" s="191"/>
      <c r="V54" s="191"/>
      <c r="W54" s="191"/>
      <c r="X54" s="191"/>
      <c r="Y54" s="191"/>
      <c r="Z54" s="191"/>
      <c r="AA54" s="191"/>
      <c r="AB54" s="191"/>
      <c r="AC54" s="191"/>
      <c r="AD54" s="191"/>
      <c r="AE54" s="191"/>
      <c r="AF54" s="191"/>
      <c r="AG54" s="191"/>
      <c r="AH54" s="191"/>
      <c r="AI54" s="191"/>
      <c r="AJ54" s="191"/>
      <c r="AK54" s="191"/>
      <c r="AL54" s="191"/>
      <c r="AM54" s="191"/>
      <c r="AN54" s="191"/>
      <c r="AO54" s="191"/>
      <c r="AP54" s="191"/>
      <c r="AQ54" s="191"/>
      <c r="AR54" s="191"/>
      <c r="AS54" s="191"/>
      <c r="AT54" s="191"/>
      <c r="AU54" s="191"/>
      <c r="AV54" s="191"/>
      <c r="AW54" s="191"/>
      <c r="AX54" s="191"/>
      <c r="AY54" s="191"/>
      <c r="AZ54" s="191"/>
      <c r="BA54" s="191"/>
    </row>
    <row r="55" spans="1:53" hidden="1">
      <c r="A55" s="191"/>
      <c r="B55" s="191"/>
      <c r="C55" s="191"/>
      <c r="D55" s="191"/>
      <c r="E55" s="191"/>
      <c r="F55" s="191"/>
      <c r="G55" s="191"/>
      <c r="H55" s="191"/>
      <c r="I55" s="191"/>
      <c r="J55" s="191"/>
      <c r="K55" s="191"/>
      <c r="L55" s="191"/>
      <c r="M55" s="191"/>
      <c r="N55" s="191"/>
      <c r="O55" s="191"/>
      <c r="P55" s="191"/>
      <c r="Q55" s="191"/>
      <c r="R55" s="191"/>
      <c r="S55" s="191"/>
      <c r="T55" s="191"/>
      <c r="U55" s="191"/>
      <c r="V55" s="191"/>
      <c r="W55" s="191"/>
      <c r="X55" s="191"/>
      <c r="Y55" s="191"/>
      <c r="Z55" s="191"/>
      <c r="AA55" s="191"/>
      <c r="AB55" s="191"/>
      <c r="AC55" s="191"/>
      <c r="AD55" s="191"/>
      <c r="AE55" s="191"/>
      <c r="AF55" s="191"/>
      <c r="AG55" s="191"/>
      <c r="AH55" s="191"/>
      <c r="AI55" s="191"/>
      <c r="AJ55" s="191"/>
      <c r="AK55" s="191"/>
      <c r="AL55" s="191"/>
      <c r="AM55" s="191"/>
      <c r="AN55" s="191"/>
      <c r="AO55" s="191"/>
      <c r="AP55" s="191"/>
      <c r="AQ55" s="191"/>
      <c r="AR55" s="191"/>
      <c r="AS55" s="191"/>
      <c r="AT55" s="191"/>
      <c r="AU55" s="191"/>
      <c r="AV55" s="191"/>
      <c r="AW55" s="191"/>
      <c r="AX55" s="191"/>
      <c r="AY55" s="191"/>
      <c r="AZ55" s="191"/>
      <c r="BA55" s="191"/>
    </row>
    <row r="56" spans="1:53" hidden="1">
      <c r="A56" s="191"/>
      <c r="B56" s="191"/>
      <c r="C56" s="191"/>
      <c r="D56" s="191"/>
      <c r="E56" s="191"/>
      <c r="F56" s="191"/>
      <c r="G56" s="191"/>
      <c r="H56" s="191"/>
      <c r="I56" s="191"/>
      <c r="J56" s="191"/>
      <c r="K56" s="191"/>
      <c r="L56" s="191"/>
      <c r="M56" s="191"/>
      <c r="N56" s="191"/>
      <c r="O56" s="191"/>
      <c r="P56" s="191"/>
      <c r="Q56" s="191"/>
      <c r="R56" s="191"/>
      <c r="S56" s="191"/>
      <c r="T56" s="191"/>
      <c r="U56" s="191"/>
      <c r="V56" s="191"/>
      <c r="W56" s="191"/>
      <c r="X56" s="191"/>
      <c r="Y56" s="191"/>
      <c r="Z56" s="191"/>
      <c r="AA56" s="191"/>
      <c r="AB56" s="191"/>
      <c r="AC56" s="191"/>
      <c r="AD56" s="191"/>
      <c r="AE56" s="191"/>
      <c r="AF56" s="191"/>
      <c r="AG56" s="191"/>
      <c r="AH56" s="191"/>
      <c r="AI56" s="191"/>
      <c r="AJ56" s="191"/>
      <c r="AK56" s="191"/>
      <c r="AL56" s="191"/>
      <c r="AM56" s="191"/>
      <c r="AN56" s="191"/>
      <c r="AO56" s="191"/>
      <c r="AP56" s="191"/>
      <c r="AQ56" s="191"/>
      <c r="AR56" s="191"/>
      <c r="AS56" s="191"/>
      <c r="AT56" s="191"/>
      <c r="AU56" s="191"/>
      <c r="AV56" s="191"/>
      <c r="AW56" s="191"/>
      <c r="AX56" s="191"/>
      <c r="AY56" s="191"/>
      <c r="AZ56" s="191"/>
      <c r="BA56" s="191"/>
    </row>
    <row r="57" spans="1:53" hidden="1">
      <c r="A57" s="191"/>
      <c r="B57" s="191"/>
      <c r="C57" s="191"/>
      <c r="D57" s="191"/>
      <c r="E57" s="191"/>
      <c r="F57" s="191"/>
      <c r="G57" s="191"/>
      <c r="H57" s="191"/>
      <c r="I57" s="191"/>
      <c r="J57" s="191"/>
      <c r="K57" s="191"/>
      <c r="L57" s="191"/>
      <c r="M57" s="191"/>
      <c r="N57" s="191"/>
      <c r="O57" s="191"/>
      <c r="P57" s="191"/>
      <c r="Q57" s="191"/>
      <c r="R57" s="191"/>
      <c r="S57" s="191"/>
      <c r="T57" s="191"/>
      <c r="U57" s="191"/>
      <c r="V57" s="191"/>
      <c r="W57" s="191"/>
      <c r="X57" s="191"/>
      <c r="Y57" s="191"/>
      <c r="Z57" s="191"/>
      <c r="AA57" s="191"/>
      <c r="AB57" s="191"/>
      <c r="AC57" s="191"/>
      <c r="AD57" s="191"/>
      <c r="AE57" s="191"/>
      <c r="AF57" s="191"/>
      <c r="AG57" s="191"/>
      <c r="AH57" s="191"/>
      <c r="AI57" s="191"/>
      <c r="AJ57" s="191"/>
      <c r="AK57" s="191"/>
      <c r="AL57" s="191"/>
      <c r="AM57" s="191"/>
      <c r="AN57" s="191"/>
      <c r="AO57" s="191"/>
      <c r="AP57" s="191"/>
      <c r="AQ57" s="191"/>
      <c r="AR57" s="191"/>
      <c r="AS57" s="191"/>
      <c r="AT57" s="191"/>
      <c r="AU57" s="191"/>
      <c r="AV57" s="191"/>
      <c r="AW57" s="191"/>
      <c r="AX57" s="191"/>
      <c r="AY57" s="191"/>
      <c r="AZ57" s="191"/>
      <c r="BA57" s="191"/>
    </row>
    <row r="58" spans="1:53" hidden="1">
      <c r="A58" s="191"/>
      <c r="B58" s="191"/>
      <c r="C58" s="191"/>
      <c r="D58" s="191"/>
      <c r="E58" s="191"/>
      <c r="F58" s="191"/>
      <c r="G58" s="191"/>
      <c r="H58" s="191"/>
      <c r="I58" s="191"/>
      <c r="J58" s="191"/>
      <c r="K58" s="191"/>
      <c r="L58" s="191"/>
      <c r="M58" s="191"/>
      <c r="N58" s="191"/>
      <c r="O58" s="191"/>
      <c r="P58" s="191"/>
      <c r="Q58" s="191"/>
      <c r="R58" s="191"/>
      <c r="S58" s="191"/>
      <c r="T58" s="191"/>
      <c r="U58" s="191"/>
      <c r="V58" s="191"/>
      <c r="W58" s="191"/>
      <c r="X58" s="191"/>
      <c r="Y58" s="191"/>
      <c r="Z58" s="191"/>
      <c r="AA58" s="191"/>
      <c r="AB58" s="191"/>
      <c r="AC58" s="191"/>
      <c r="AD58" s="191"/>
      <c r="AE58" s="191"/>
      <c r="AF58" s="191"/>
      <c r="AG58" s="191"/>
      <c r="AH58" s="191"/>
      <c r="AI58" s="191"/>
      <c r="AJ58" s="191"/>
      <c r="AK58" s="191"/>
      <c r="AL58" s="191"/>
      <c r="AM58" s="191"/>
      <c r="AN58" s="191"/>
      <c r="AO58" s="191"/>
      <c r="AP58" s="191"/>
      <c r="AQ58" s="191"/>
      <c r="AR58" s="191"/>
      <c r="AS58" s="191"/>
      <c r="AT58" s="191"/>
      <c r="AU58" s="191"/>
      <c r="AV58" s="191"/>
      <c r="AW58" s="191"/>
      <c r="AX58" s="191"/>
      <c r="AY58" s="191"/>
      <c r="AZ58" s="191"/>
      <c r="BA58" s="191"/>
    </row>
    <row r="59" spans="1:53" hidden="1">
      <c r="A59" s="191"/>
      <c r="B59" s="191"/>
      <c r="C59" s="191"/>
      <c r="D59" s="191"/>
      <c r="E59" s="191"/>
      <c r="F59" s="191"/>
      <c r="G59" s="191"/>
      <c r="H59" s="191"/>
      <c r="I59" s="191"/>
      <c r="J59" s="191"/>
      <c r="K59" s="191"/>
      <c r="L59" s="191"/>
      <c r="M59" s="191"/>
      <c r="N59" s="191"/>
      <c r="O59" s="191"/>
      <c r="P59" s="191"/>
      <c r="Q59" s="191"/>
      <c r="R59" s="191"/>
      <c r="S59" s="191"/>
      <c r="T59" s="191"/>
      <c r="U59" s="191"/>
      <c r="V59" s="191"/>
      <c r="W59" s="191"/>
      <c r="X59" s="191"/>
      <c r="Y59" s="191"/>
      <c r="Z59" s="191"/>
      <c r="AA59" s="191"/>
      <c r="AB59" s="191"/>
      <c r="AC59" s="191"/>
      <c r="AD59" s="191"/>
      <c r="AE59" s="191"/>
      <c r="AF59" s="191"/>
      <c r="AG59" s="191"/>
      <c r="AH59" s="191"/>
      <c r="AI59" s="191"/>
      <c r="AJ59" s="191"/>
      <c r="AK59" s="191"/>
      <c r="AL59" s="191"/>
      <c r="AM59" s="191"/>
      <c r="AN59" s="191"/>
      <c r="AO59" s="191"/>
      <c r="AP59" s="191"/>
      <c r="AQ59" s="191"/>
      <c r="AR59" s="191"/>
      <c r="AS59" s="191"/>
      <c r="AT59" s="191"/>
      <c r="AU59" s="191"/>
      <c r="AV59" s="191"/>
      <c r="AW59" s="191"/>
      <c r="AX59" s="191"/>
      <c r="AY59" s="191"/>
      <c r="AZ59" s="191"/>
      <c r="BA59" s="191"/>
    </row>
    <row r="60" spans="1:53" hidden="1">
      <c r="A60" s="191"/>
      <c r="B60" s="191"/>
      <c r="C60" s="191"/>
      <c r="D60" s="191"/>
      <c r="E60" s="191"/>
      <c r="F60" s="191"/>
      <c r="G60" s="191"/>
      <c r="H60" s="191"/>
      <c r="I60" s="191"/>
      <c r="J60" s="191"/>
      <c r="K60" s="191"/>
      <c r="L60" s="191"/>
      <c r="M60" s="191"/>
      <c r="N60" s="191"/>
      <c r="O60" s="191"/>
      <c r="P60" s="191"/>
      <c r="Q60" s="191"/>
      <c r="R60" s="191"/>
      <c r="S60" s="191"/>
      <c r="T60" s="191"/>
      <c r="U60" s="191"/>
      <c r="V60" s="191"/>
      <c r="W60" s="191"/>
      <c r="X60" s="191"/>
      <c r="Y60" s="191"/>
      <c r="Z60" s="191"/>
      <c r="AA60" s="191"/>
      <c r="AB60" s="191"/>
      <c r="AC60" s="191"/>
      <c r="AD60" s="191"/>
      <c r="AE60" s="191"/>
      <c r="AF60" s="191"/>
      <c r="AG60" s="191"/>
      <c r="AH60" s="191"/>
      <c r="AI60" s="191"/>
      <c r="AJ60" s="191"/>
      <c r="AK60" s="191"/>
      <c r="AL60" s="191"/>
      <c r="AM60" s="191"/>
      <c r="AN60" s="191"/>
      <c r="AO60" s="191"/>
      <c r="AP60" s="191"/>
      <c r="AQ60" s="191"/>
      <c r="AR60" s="191"/>
      <c r="AS60" s="191"/>
      <c r="AT60" s="191"/>
      <c r="AU60" s="191"/>
      <c r="AV60" s="191"/>
      <c r="AW60" s="191"/>
      <c r="AX60" s="191"/>
      <c r="AY60" s="191"/>
      <c r="AZ60" s="191"/>
      <c r="BA60" s="191"/>
    </row>
    <row r="61" spans="1:53" hidden="1">
      <c r="A61" s="191"/>
      <c r="B61" s="191"/>
      <c r="C61" s="191"/>
      <c r="D61" s="191"/>
      <c r="E61" s="191"/>
      <c r="F61" s="191"/>
      <c r="G61" s="191"/>
      <c r="H61" s="191"/>
      <c r="I61" s="191"/>
      <c r="J61" s="191"/>
      <c r="K61" s="191"/>
      <c r="L61" s="191"/>
      <c r="M61" s="191"/>
      <c r="N61" s="191"/>
      <c r="O61" s="191"/>
      <c r="P61" s="191"/>
      <c r="Q61" s="191"/>
      <c r="R61" s="191"/>
      <c r="S61" s="191"/>
      <c r="T61" s="191"/>
      <c r="U61" s="191"/>
      <c r="V61" s="191"/>
      <c r="W61" s="191"/>
      <c r="X61" s="191"/>
      <c r="Y61" s="191"/>
      <c r="Z61" s="191"/>
      <c r="AA61" s="191"/>
      <c r="AB61" s="191"/>
      <c r="AC61" s="191"/>
      <c r="AD61" s="191"/>
      <c r="AE61" s="191"/>
      <c r="AF61" s="191"/>
      <c r="AG61" s="191"/>
      <c r="AH61" s="191"/>
      <c r="AI61" s="191"/>
      <c r="AJ61" s="191"/>
      <c r="AK61" s="191"/>
      <c r="AL61" s="191"/>
      <c r="AM61" s="191"/>
      <c r="AN61" s="191"/>
      <c r="AO61" s="191"/>
      <c r="AP61" s="191"/>
      <c r="AQ61" s="191"/>
      <c r="AR61" s="191"/>
      <c r="AS61" s="191"/>
      <c r="AT61" s="191"/>
      <c r="AU61" s="191"/>
      <c r="AV61" s="191"/>
      <c r="AW61" s="191"/>
      <c r="AX61" s="191"/>
      <c r="AY61" s="191"/>
      <c r="AZ61" s="191"/>
      <c r="BA61" s="191"/>
    </row>
    <row r="62" spans="1:53" hidden="1">
      <c r="A62" s="191"/>
      <c r="B62" s="191"/>
      <c r="C62" s="191"/>
      <c r="D62" s="191"/>
      <c r="E62" s="191"/>
      <c r="F62" s="191"/>
      <c r="G62" s="191"/>
      <c r="H62" s="191"/>
      <c r="I62" s="191"/>
      <c r="J62" s="191"/>
      <c r="K62" s="191"/>
      <c r="L62" s="191"/>
      <c r="M62" s="191"/>
      <c r="N62" s="191"/>
      <c r="O62" s="191"/>
      <c r="P62" s="191"/>
      <c r="Q62" s="191"/>
      <c r="R62" s="191"/>
      <c r="S62" s="191"/>
      <c r="T62" s="191"/>
      <c r="U62" s="191"/>
      <c r="V62" s="191"/>
      <c r="W62" s="191"/>
      <c r="X62" s="191"/>
      <c r="Y62" s="191"/>
      <c r="Z62" s="191"/>
      <c r="AA62" s="191"/>
      <c r="AB62" s="191"/>
      <c r="AC62" s="191"/>
      <c r="AD62" s="191"/>
      <c r="AE62" s="191"/>
      <c r="AF62" s="191"/>
      <c r="AG62" s="191"/>
      <c r="AH62" s="191"/>
      <c r="AI62" s="191"/>
      <c r="AJ62" s="191"/>
      <c r="AK62" s="191"/>
      <c r="AL62" s="191"/>
      <c r="AM62" s="191"/>
      <c r="AN62" s="191"/>
      <c r="AO62" s="191"/>
      <c r="AP62" s="191"/>
      <c r="AQ62" s="191"/>
      <c r="AR62" s="191"/>
      <c r="AS62" s="191"/>
      <c r="AT62" s="191"/>
      <c r="AU62" s="191"/>
      <c r="AV62" s="191"/>
      <c r="AW62" s="191"/>
      <c r="AX62" s="191"/>
      <c r="AY62" s="191"/>
      <c r="AZ62" s="191"/>
      <c r="BA62" s="191"/>
    </row>
    <row r="63" spans="1:53" hidden="1">
      <c r="A63" s="191"/>
      <c r="B63" s="191"/>
      <c r="C63" s="191"/>
      <c r="D63" s="191"/>
      <c r="E63" s="191"/>
      <c r="F63" s="191"/>
      <c r="G63" s="191"/>
      <c r="H63" s="191"/>
      <c r="I63" s="191"/>
      <c r="J63" s="191"/>
      <c r="K63" s="191"/>
      <c r="L63" s="191"/>
      <c r="M63" s="191"/>
      <c r="N63" s="191"/>
      <c r="O63" s="191"/>
      <c r="P63" s="191"/>
      <c r="Q63" s="191"/>
      <c r="R63" s="191"/>
      <c r="S63" s="191"/>
      <c r="T63" s="191"/>
      <c r="U63" s="191"/>
      <c r="V63" s="191"/>
      <c r="W63" s="191"/>
      <c r="X63" s="191"/>
      <c r="Y63" s="191"/>
      <c r="Z63" s="191"/>
      <c r="AA63" s="191"/>
      <c r="AB63" s="191"/>
      <c r="AC63" s="191"/>
      <c r="AD63" s="191"/>
      <c r="AE63" s="191"/>
      <c r="AF63" s="191"/>
      <c r="AG63" s="191"/>
      <c r="AH63" s="191"/>
      <c r="AI63" s="191"/>
      <c r="AJ63" s="191"/>
      <c r="AK63" s="191"/>
      <c r="AL63" s="191"/>
      <c r="AM63" s="191"/>
      <c r="AN63" s="191"/>
      <c r="AO63" s="191"/>
      <c r="AP63" s="191"/>
      <c r="AQ63" s="191"/>
      <c r="AR63" s="191"/>
      <c r="AS63" s="191"/>
      <c r="AT63" s="191"/>
      <c r="AU63" s="191"/>
      <c r="AV63" s="191"/>
      <c r="AW63" s="191"/>
      <c r="AX63" s="191"/>
      <c r="AY63" s="191"/>
      <c r="AZ63" s="191"/>
      <c r="BA63" s="191"/>
    </row>
    <row r="64" spans="1:53" hidden="1">
      <c r="A64" s="191"/>
      <c r="B64" s="191"/>
      <c r="C64" s="191"/>
      <c r="D64" s="191"/>
      <c r="E64" s="191"/>
      <c r="F64" s="191"/>
      <c r="G64" s="191"/>
      <c r="H64" s="191"/>
      <c r="I64" s="191"/>
      <c r="J64" s="191"/>
      <c r="K64" s="191"/>
      <c r="L64" s="191"/>
      <c r="M64" s="191"/>
      <c r="N64" s="191"/>
      <c r="O64" s="191"/>
      <c r="P64" s="191"/>
      <c r="Q64" s="191"/>
      <c r="R64" s="191"/>
      <c r="S64" s="191"/>
      <c r="T64" s="191"/>
      <c r="U64" s="191"/>
      <c r="V64" s="191"/>
      <c r="W64" s="191"/>
      <c r="X64" s="191"/>
      <c r="Y64" s="191"/>
      <c r="Z64" s="191"/>
      <c r="AA64" s="191"/>
      <c r="AB64" s="191"/>
      <c r="AC64" s="191"/>
      <c r="AD64" s="191"/>
      <c r="AE64" s="191"/>
      <c r="AF64" s="191"/>
      <c r="AG64" s="191"/>
      <c r="AH64" s="191"/>
      <c r="AI64" s="191"/>
      <c r="AJ64" s="191"/>
      <c r="AK64" s="191"/>
      <c r="AL64" s="191"/>
      <c r="AM64" s="191"/>
      <c r="AN64" s="191"/>
      <c r="AO64" s="191"/>
      <c r="AP64" s="191"/>
      <c r="AQ64" s="191"/>
      <c r="AR64" s="191"/>
      <c r="AS64" s="191"/>
      <c r="AT64" s="191"/>
      <c r="AU64" s="191"/>
      <c r="AV64" s="191"/>
      <c r="AW64" s="191"/>
      <c r="AX64" s="191"/>
      <c r="AY64" s="191"/>
      <c r="AZ64" s="191"/>
      <c r="BA64" s="191"/>
    </row>
    <row r="65" spans="1:53" hidden="1">
      <c r="A65" s="191"/>
      <c r="B65" s="191"/>
      <c r="C65" s="191"/>
      <c r="D65" s="191"/>
      <c r="E65" s="191"/>
      <c r="F65" s="191"/>
      <c r="G65" s="191"/>
      <c r="H65" s="191"/>
      <c r="I65" s="191"/>
      <c r="J65" s="191"/>
      <c r="K65" s="191"/>
      <c r="L65" s="191"/>
      <c r="M65" s="191"/>
      <c r="N65" s="191"/>
      <c r="O65" s="191"/>
      <c r="P65" s="191"/>
      <c r="Q65" s="191"/>
      <c r="R65" s="191"/>
      <c r="S65" s="191"/>
      <c r="T65" s="191"/>
      <c r="U65" s="191"/>
      <c r="V65" s="191"/>
      <c r="W65" s="191"/>
      <c r="X65" s="191"/>
      <c r="Y65" s="191"/>
      <c r="Z65" s="191"/>
      <c r="AA65" s="191"/>
      <c r="AB65" s="191"/>
      <c r="AC65" s="191"/>
      <c r="AD65" s="191"/>
      <c r="AE65" s="191"/>
      <c r="AF65" s="191"/>
      <c r="AG65" s="191"/>
      <c r="AH65" s="191"/>
      <c r="AI65" s="191"/>
      <c r="AJ65" s="191"/>
      <c r="AK65" s="191"/>
      <c r="AL65" s="191"/>
      <c r="AM65" s="191"/>
      <c r="AN65" s="191"/>
      <c r="AO65" s="191"/>
      <c r="AP65" s="191"/>
      <c r="AQ65" s="191"/>
      <c r="AR65" s="191"/>
      <c r="AS65" s="191"/>
      <c r="AT65" s="191"/>
      <c r="AU65" s="191"/>
      <c r="AV65" s="191"/>
      <c r="AW65" s="191"/>
      <c r="AX65" s="191"/>
      <c r="AY65" s="191"/>
      <c r="AZ65" s="191"/>
      <c r="BA65" s="191"/>
    </row>
    <row r="66" spans="1:53" hidden="1">
      <c r="A66" s="191"/>
      <c r="B66" s="191"/>
      <c r="C66" s="191"/>
      <c r="D66" s="191"/>
      <c r="E66" s="191"/>
      <c r="F66" s="191"/>
      <c r="G66" s="191"/>
      <c r="H66" s="191"/>
      <c r="I66" s="191"/>
      <c r="J66" s="191"/>
      <c r="K66" s="191"/>
      <c r="L66" s="191"/>
      <c r="M66" s="191"/>
      <c r="N66" s="191"/>
      <c r="O66" s="191"/>
      <c r="P66" s="191"/>
      <c r="Q66" s="191"/>
      <c r="R66" s="191"/>
      <c r="S66" s="191"/>
      <c r="T66" s="191"/>
      <c r="U66" s="191"/>
      <c r="V66" s="191"/>
      <c r="W66" s="191"/>
      <c r="X66" s="191"/>
      <c r="Y66" s="191"/>
      <c r="Z66" s="191"/>
      <c r="AA66" s="191"/>
      <c r="AB66" s="191"/>
      <c r="AC66" s="191"/>
      <c r="AD66" s="191"/>
      <c r="AE66" s="191"/>
      <c r="AF66" s="191"/>
      <c r="AG66" s="191"/>
      <c r="AH66" s="191"/>
      <c r="AI66" s="191"/>
      <c r="AJ66" s="191"/>
      <c r="AK66" s="191"/>
      <c r="AL66" s="191"/>
      <c r="AM66" s="191"/>
      <c r="AN66" s="191"/>
      <c r="AO66" s="191"/>
      <c r="AP66" s="191"/>
      <c r="AQ66" s="191"/>
      <c r="AR66" s="191"/>
      <c r="AS66" s="191"/>
      <c r="AT66" s="191"/>
      <c r="AU66" s="191"/>
      <c r="AV66" s="191"/>
      <c r="AW66" s="191"/>
      <c r="AX66" s="191"/>
      <c r="AY66" s="191"/>
      <c r="AZ66" s="191"/>
      <c r="BA66" s="191"/>
    </row>
    <row r="67" spans="1:53" hidden="1">
      <c r="A67" s="191"/>
      <c r="B67" s="191"/>
      <c r="C67" s="191"/>
      <c r="D67" s="191"/>
      <c r="E67" s="191"/>
      <c r="F67" s="191"/>
      <c r="G67" s="191"/>
      <c r="H67" s="191"/>
      <c r="I67" s="191"/>
      <c r="J67" s="191"/>
      <c r="K67" s="191"/>
      <c r="L67" s="191"/>
      <c r="M67" s="191"/>
      <c r="N67" s="191"/>
      <c r="O67" s="191"/>
      <c r="P67" s="191"/>
      <c r="Q67" s="191"/>
      <c r="R67" s="191"/>
      <c r="S67" s="191"/>
      <c r="T67" s="191"/>
      <c r="U67" s="191"/>
      <c r="V67" s="191"/>
      <c r="W67" s="191"/>
      <c r="X67" s="191"/>
      <c r="Y67" s="191"/>
      <c r="Z67" s="191"/>
      <c r="AA67" s="191"/>
      <c r="AB67" s="191"/>
      <c r="AC67" s="191"/>
      <c r="AD67" s="191"/>
      <c r="AE67" s="191"/>
      <c r="AF67" s="191"/>
      <c r="AG67" s="191"/>
      <c r="AH67" s="191"/>
      <c r="AI67" s="191"/>
      <c r="AJ67" s="191"/>
      <c r="AK67" s="191"/>
      <c r="AL67" s="191"/>
      <c r="AM67" s="191"/>
      <c r="AN67" s="191"/>
      <c r="AO67" s="191"/>
      <c r="AP67" s="191"/>
      <c r="AQ67" s="191"/>
      <c r="AR67" s="191"/>
      <c r="AS67" s="191"/>
      <c r="AT67" s="191"/>
      <c r="AU67" s="191"/>
      <c r="AV67" s="191"/>
      <c r="AW67" s="191"/>
      <c r="AX67" s="191"/>
      <c r="AY67" s="191"/>
      <c r="AZ67" s="191"/>
      <c r="BA67" s="191"/>
    </row>
    <row r="68" spans="1:53" hidden="1">
      <c r="A68" s="191"/>
      <c r="B68" s="191"/>
      <c r="C68" s="191"/>
      <c r="D68" s="191"/>
      <c r="E68" s="191"/>
      <c r="F68" s="191"/>
      <c r="G68" s="191"/>
      <c r="H68" s="191"/>
      <c r="I68" s="191"/>
      <c r="J68" s="191"/>
      <c r="K68" s="191"/>
      <c r="L68" s="191"/>
      <c r="M68" s="191"/>
      <c r="N68" s="191"/>
      <c r="O68" s="191"/>
      <c r="P68" s="191"/>
      <c r="Q68" s="191"/>
      <c r="R68" s="191"/>
      <c r="S68" s="191"/>
      <c r="T68" s="191"/>
      <c r="U68" s="191"/>
      <c r="V68" s="191"/>
      <c r="W68" s="191"/>
      <c r="X68" s="191"/>
      <c r="Y68" s="191"/>
      <c r="Z68" s="191"/>
      <c r="AA68" s="191"/>
      <c r="AB68" s="191"/>
      <c r="AC68" s="191"/>
      <c r="AD68" s="191"/>
      <c r="AE68" s="191"/>
      <c r="AF68" s="191"/>
      <c r="AG68" s="191"/>
      <c r="AH68" s="191"/>
      <c r="AI68" s="191"/>
      <c r="AJ68" s="191"/>
      <c r="AK68" s="191"/>
      <c r="AL68" s="191"/>
      <c r="AM68" s="191"/>
      <c r="AN68" s="191"/>
      <c r="AO68" s="191"/>
      <c r="AP68" s="191"/>
      <c r="AQ68" s="191"/>
      <c r="AR68" s="191"/>
      <c r="AS68" s="191"/>
      <c r="AT68" s="191"/>
      <c r="AU68" s="191"/>
      <c r="AV68" s="191"/>
      <c r="AW68" s="191"/>
      <c r="AX68" s="191"/>
      <c r="AY68" s="191"/>
      <c r="AZ68" s="191"/>
      <c r="BA68" s="191"/>
    </row>
    <row r="69" spans="1:53" hidden="1">
      <c r="A69" s="191"/>
      <c r="B69" s="191"/>
      <c r="C69" s="191"/>
      <c r="D69" s="191"/>
      <c r="E69" s="191"/>
      <c r="F69" s="191"/>
      <c r="G69" s="191"/>
      <c r="H69" s="191"/>
      <c r="I69" s="191"/>
      <c r="J69" s="191"/>
      <c r="K69" s="191"/>
      <c r="L69" s="191"/>
      <c r="M69" s="191"/>
      <c r="N69" s="191"/>
      <c r="O69" s="191"/>
      <c r="P69" s="191"/>
      <c r="Q69" s="191"/>
      <c r="R69" s="191"/>
      <c r="S69" s="191"/>
      <c r="T69" s="191"/>
      <c r="U69" s="191"/>
      <c r="V69" s="191"/>
      <c r="W69" s="191"/>
      <c r="X69" s="191"/>
      <c r="Y69" s="191"/>
      <c r="Z69" s="191"/>
      <c r="AA69" s="191"/>
      <c r="AB69" s="191"/>
      <c r="AC69" s="191"/>
      <c r="AD69" s="191"/>
      <c r="AE69" s="191"/>
      <c r="AF69" s="191"/>
      <c r="AG69" s="191"/>
      <c r="AH69" s="191"/>
      <c r="AI69" s="191"/>
      <c r="AJ69" s="191"/>
      <c r="AK69" s="191"/>
      <c r="AL69" s="191"/>
      <c r="AM69" s="191"/>
      <c r="AN69" s="191"/>
      <c r="AO69" s="191"/>
      <c r="AP69" s="191"/>
      <c r="AQ69" s="191"/>
      <c r="AR69" s="191"/>
      <c r="AS69" s="191"/>
      <c r="AT69" s="191"/>
      <c r="AU69" s="191"/>
      <c r="AV69" s="191"/>
      <c r="AW69" s="191"/>
      <c r="AX69" s="191"/>
      <c r="AY69" s="191"/>
      <c r="AZ69" s="191"/>
      <c r="BA69" s="191"/>
    </row>
    <row r="70" spans="1:53" hidden="1">
      <c r="A70" s="191"/>
      <c r="B70" s="191"/>
      <c r="C70" s="191"/>
      <c r="D70" s="191"/>
      <c r="E70" s="191"/>
      <c r="F70" s="191"/>
      <c r="G70" s="191"/>
      <c r="H70" s="191"/>
      <c r="I70" s="191"/>
      <c r="J70" s="191"/>
      <c r="K70" s="191"/>
      <c r="L70" s="191"/>
      <c r="M70" s="191"/>
      <c r="N70" s="191"/>
      <c r="O70" s="191"/>
      <c r="P70" s="191"/>
      <c r="Q70" s="191"/>
      <c r="R70" s="191"/>
      <c r="S70" s="191"/>
      <c r="T70" s="191"/>
      <c r="U70" s="191"/>
      <c r="V70" s="191"/>
      <c r="W70" s="191"/>
      <c r="X70" s="191"/>
      <c r="Y70" s="191"/>
      <c r="Z70" s="191"/>
      <c r="AA70" s="191"/>
      <c r="AB70" s="191"/>
      <c r="AC70" s="191"/>
      <c r="AD70" s="191"/>
      <c r="AE70" s="191"/>
      <c r="AF70" s="191"/>
      <c r="AG70" s="191"/>
      <c r="AH70" s="191"/>
      <c r="AI70" s="191"/>
      <c r="AJ70" s="191"/>
      <c r="AK70" s="191"/>
      <c r="AL70" s="191"/>
      <c r="AM70" s="191"/>
      <c r="AN70" s="191"/>
      <c r="AO70" s="191"/>
      <c r="AP70" s="191"/>
      <c r="AQ70" s="191"/>
      <c r="AR70" s="191"/>
      <c r="AS70" s="191"/>
      <c r="AT70" s="191"/>
      <c r="AU70" s="191"/>
      <c r="AV70" s="191"/>
      <c r="AW70" s="191"/>
      <c r="AX70" s="191"/>
      <c r="AY70" s="191"/>
      <c r="AZ70" s="191"/>
      <c r="BA70" s="191"/>
    </row>
    <row r="71" spans="1:53" hidden="1">
      <c r="A71" s="191"/>
      <c r="B71" s="191"/>
      <c r="C71" s="191"/>
      <c r="D71" s="191"/>
      <c r="E71" s="191"/>
      <c r="F71" s="191"/>
      <c r="G71" s="191"/>
      <c r="H71" s="191"/>
      <c r="I71" s="191"/>
      <c r="J71" s="191"/>
      <c r="K71" s="191"/>
      <c r="L71" s="191"/>
      <c r="M71" s="191"/>
      <c r="N71" s="191"/>
      <c r="O71" s="191"/>
      <c r="P71" s="191"/>
      <c r="Q71" s="191"/>
      <c r="R71" s="191"/>
      <c r="S71" s="191"/>
      <c r="T71" s="191"/>
      <c r="U71" s="191"/>
      <c r="V71" s="191"/>
      <c r="W71" s="191"/>
      <c r="X71" s="191"/>
      <c r="Y71" s="191"/>
      <c r="Z71" s="191"/>
      <c r="AA71" s="191"/>
      <c r="AB71" s="191"/>
      <c r="AC71" s="191"/>
      <c r="AD71" s="191"/>
      <c r="AE71" s="191"/>
      <c r="AF71" s="191"/>
      <c r="AG71" s="191"/>
      <c r="AH71" s="191"/>
      <c r="AI71" s="191"/>
      <c r="AJ71" s="191"/>
      <c r="AK71" s="191"/>
      <c r="AL71" s="191"/>
      <c r="AM71" s="191"/>
      <c r="AN71" s="191"/>
      <c r="AO71" s="191"/>
      <c r="AP71" s="191"/>
      <c r="AQ71" s="191"/>
      <c r="AR71" s="191"/>
      <c r="AS71" s="191"/>
      <c r="AT71" s="191"/>
      <c r="AU71" s="191"/>
      <c r="AV71" s="191"/>
      <c r="AW71" s="191"/>
      <c r="AX71" s="191"/>
      <c r="AY71" s="191"/>
      <c r="AZ71" s="191"/>
      <c r="BA71" s="191"/>
    </row>
    <row r="72" spans="1:53" hidden="1">
      <c r="A72" s="191"/>
      <c r="B72" s="191"/>
      <c r="C72" s="191"/>
      <c r="D72" s="191"/>
      <c r="E72" s="191"/>
      <c r="F72" s="191"/>
      <c r="G72" s="191"/>
      <c r="H72" s="191"/>
      <c r="I72" s="191"/>
      <c r="J72" s="191"/>
      <c r="K72" s="191"/>
      <c r="L72" s="191"/>
      <c r="M72" s="191"/>
      <c r="N72" s="191"/>
      <c r="O72" s="191"/>
      <c r="P72" s="191"/>
      <c r="Q72" s="191"/>
      <c r="R72" s="191"/>
      <c r="S72" s="191"/>
      <c r="T72" s="191"/>
      <c r="U72" s="191"/>
      <c r="V72" s="191"/>
      <c r="W72" s="191"/>
      <c r="X72" s="191"/>
      <c r="Y72" s="191"/>
      <c r="Z72" s="191"/>
      <c r="AA72" s="191"/>
      <c r="AB72" s="191"/>
      <c r="AC72" s="191"/>
      <c r="AD72" s="191"/>
      <c r="AE72" s="191"/>
      <c r="AF72" s="191"/>
      <c r="AG72" s="191"/>
      <c r="AH72" s="191"/>
      <c r="AI72" s="191"/>
      <c r="AJ72" s="191"/>
      <c r="AK72" s="191"/>
      <c r="AL72" s="191"/>
      <c r="AM72" s="191"/>
      <c r="AN72" s="191"/>
      <c r="AO72" s="191"/>
      <c r="AP72" s="191"/>
      <c r="AQ72" s="191"/>
      <c r="AR72" s="191"/>
      <c r="AS72" s="191"/>
      <c r="AT72" s="191"/>
      <c r="AU72" s="191"/>
      <c r="AV72" s="191"/>
      <c r="AW72" s="191"/>
      <c r="AX72" s="191"/>
      <c r="AY72" s="191"/>
      <c r="AZ72" s="191"/>
      <c r="BA72" s="191"/>
    </row>
    <row r="73" spans="1:53" hidden="1">
      <c r="A73" s="191"/>
      <c r="B73" s="191"/>
      <c r="C73" s="191"/>
      <c r="D73" s="191"/>
      <c r="E73" s="191"/>
      <c r="F73" s="191"/>
      <c r="G73" s="191"/>
      <c r="H73" s="191"/>
      <c r="I73" s="191"/>
      <c r="J73" s="191"/>
      <c r="K73" s="191"/>
      <c r="L73" s="191"/>
      <c r="M73" s="191"/>
      <c r="N73" s="191"/>
      <c r="O73" s="191"/>
      <c r="P73" s="191"/>
      <c r="Q73" s="191"/>
      <c r="R73" s="191"/>
      <c r="S73" s="191"/>
      <c r="T73" s="191"/>
      <c r="U73" s="191"/>
      <c r="V73" s="191"/>
      <c r="W73" s="191"/>
      <c r="X73" s="191"/>
      <c r="Y73" s="191"/>
      <c r="Z73" s="191"/>
      <c r="AA73" s="191"/>
      <c r="AB73" s="191"/>
      <c r="AC73" s="191"/>
      <c r="AD73" s="191"/>
      <c r="AE73" s="191"/>
      <c r="AF73" s="191"/>
      <c r="AG73" s="191"/>
      <c r="AH73" s="191"/>
      <c r="AI73" s="191"/>
      <c r="AJ73" s="191"/>
      <c r="AK73" s="191"/>
      <c r="AL73" s="191"/>
      <c r="AM73" s="191"/>
      <c r="AN73" s="191"/>
      <c r="AO73" s="191"/>
      <c r="AP73" s="191"/>
      <c r="AQ73" s="191"/>
      <c r="AR73" s="191"/>
      <c r="AS73" s="191"/>
      <c r="AT73" s="191"/>
      <c r="AU73" s="191"/>
      <c r="AV73" s="191"/>
      <c r="AW73" s="191"/>
      <c r="AX73" s="191"/>
      <c r="AY73" s="191"/>
      <c r="AZ73" s="191"/>
      <c r="BA73" s="191"/>
    </row>
    <row r="74" spans="1:53" hidden="1">
      <c r="A74" s="191"/>
      <c r="B74" s="191"/>
      <c r="C74" s="191"/>
      <c r="D74" s="191"/>
      <c r="E74" s="191"/>
      <c r="F74" s="191"/>
      <c r="G74" s="191"/>
      <c r="H74" s="191"/>
      <c r="I74" s="191"/>
      <c r="J74" s="191"/>
      <c r="K74" s="191"/>
      <c r="L74" s="191"/>
      <c r="M74" s="191"/>
      <c r="N74" s="191"/>
      <c r="O74" s="191"/>
      <c r="P74" s="191"/>
      <c r="Q74" s="191"/>
      <c r="R74" s="191"/>
      <c r="S74" s="191"/>
      <c r="T74" s="191"/>
      <c r="U74" s="191"/>
      <c r="V74" s="191"/>
      <c r="W74" s="191"/>
      <c r="X74" s="191"/>
      <c r="Y74" s="191"/>
      <c r="Z74" s="191"/>
      <c r="AA74" s="191"/>
      <c r="AB74" s="191"/>
      <c r="AC74" s="191"/>
      <c r="AD74" s="191"/>
      <c r="AE74" s="191"/>
      <c r="AF74" s="191"/>
      <c r="AG74" s="191"/>
      <c r="AH74" s="191"/>
      <c r="AI74" s="191"/>
      <c r="AJ74" s="191"/>
      <c r="AK74" s="191"/>
      <c r="AL74" s="191"/>
      <c r="AM74" s="191"/>
      <c r="AN74" s="191"/>
      <c r="AO74" s="191"/>
      <c r="AP74" s="191"/>
      <c r="AQ74" s="191"/>
      <c r="AR74" s="191"/>
      <c r="AS74" s="191"/>
      <c r="AT74" s="191"/>
      <c r="AU74" s="191"/>
      <c r="AV74" s="191"/>
      <c r="AW74" s="191"/>
      <c r="AX74" s="191"/>
      <c r="AY74" s="191"/>
      <c r="AZ74" s="191"/>
      <c r="BA74" s="191"/>
    </row>
    <row r="75" spans="1:53" hidden="1">
      <c r="A75" s="191"/>
      <c r="B75" s="191"/>
      <c r="C75" s="191"/>
      <c r="D75" s="191"/>
      <c r="E75" s="191"/>
      <c r="F75" s="191"/>
      <c r="G75" s="191"/>
      <c r="H75" s="191"/>
      <c r="I75" s="191"/>
      <c r="J75" s="191"/>
      <c r="K75" s="191"/>
      <c r="L75" s="191"/>
      <c r="M75" s="191"/>
      <c r="N75" s="191"/>
      <c r="O75" s="191"/>
      <c r="P75" s="191"/>
      <c r="Q75" s="191"/>
      <c r="R75" s="191"/>
      <c r="S75" s="191"/>
      <c r="T75" s="191"/>
      <c r="U75" s="191"/>
      <c r="V75" s="191"/>
      <c r="W75" s="191"/>
      <c r="X75" s="191"/>
      <c r="Y75" s="191"/>
      <c r="Z75" s="191"/>
      <c r="AA75" s="191"/>
      <c r="AB75" s="191"/>
      <c r="AC75" s="191"/>
      <c r="AD75" s="191"/>
      <c r="AE75" s="191"/>
      <c r="AF75" s="191"/>
      <c r="AG75" s="191"/>
      <c r="AH75" s="191"/>
      <c r="AI75" s="191"/>
      <c r="AJ75" s="191"/>
      <c r="AK75" s="191"/>
      <c r="AL75" s="191"/>
      <c r="AM75" s="191"/>
      <c r="AN75" s="191"/>
      <c r="AO75" s="191"/>
      <c r="AP75" s="191"/>
      <c r="AQ75" s="191"/>
      <c r="AR75" s="191"/>
      <c r="AS75" s="191"/>
      <c r="AT75" s="191"/>
      <c r="AU75" s="191"/>
      <c r="AV75" s="191"/>
      <c r="AW75" s="191"/>
      <c r="AX75" s="191"/>
      <c r="AY75" s="191"/>
      <c r="AZ75" s="191"/>
      <c r="BA75" s="191"/>
    </row>
    <row r="76" spans="1:53" hidden="1">
      <c r="A76" s="191"/>
      <c r="B76" s="191"/>
      <c r="C76" s="191"/>
      <c r="D76" s="191"/>
      <c r="E76" s="191"/>
      <c r="F76" s="191"/>
      <c r="G76" s="191"/>
      <c r="H76" s="191"/>
      <c r="I76" s="191"/>
      <c r="J76" s="191"/>
      <c r="K76" s="191"/>
      <c r="L76" s="191"/>
      <c r="M76" s="191"/>
      <c r="N76" s="191"/>
      <c r="O76" s="191"/>
      <c r="P76" s="191"/>
      <c r="Q76" s="191"/>
      <c r="R76" s="191"/>
      <c r="S76" s="191"/>
      <c r="T76" s="191"/>
      <c r="U76" s="191"/>
      <c r="V76" s="191"/>
      <c r="W76" s="191"/>
      <c r="X76" s="191"/>
      <c r="Y76" s="191"/>
      <c r="Z76" s="191"/>
      <c r="AA76" s="191"/>
      <c r="AB76" s="191"/>
      <c r="AC76" s="191"/>
      <c r="AD76" s="191"/>
      <c r="AE76" s="191"/>
      <c r="AF76" s="191"/>
      <c r="AG76" s="191"/>
      <c r="AH76" s="191"/>
      <c r="AI76" s="191"/>
      <c r="AJ76" s="191"/>
      <c r="AK76" s="191"/>
      <c r="AL76" s="191"/>
      <c r="AM76" s="191"/>
      <c r="AN76" s="191"/>
      <c r="AO76" s="191"/>
      <c r="AP76" s="191"/>
      <c r="AQ76" s="191"/>
      <c r="AR76" s="191"/>
      <c r="AS76" s="191"/>
      <c r="AT76" s="191"/>
      <c r="AU76" s="191"/>
      <c r="AV76" s="191"/>
      <c r="AW76" s="191"/>
      <c r="AX76" s="191"/>
      <c r="AY76" s="191"/>
      <c r="AZ76" s="191"/>
      <c r="BA76" s="191"/>
    </row>
    <row r="77" spans="1:53" hidden="1">
      <c r="A77" s="191"/>
      <c r="B77" s="191"/>
      <c r="C77" s="191"/>
      <c r="D77" s="191"/>
      <c r="E77" s="191"/>
      <c r="F77" s="191"/>
      <c r="G77" s="191"/>
      <c r="H77" s="191"/>
      <c r="I77" s="191"/>
      <c r="J77" s="191"/>
      <c r="K77" s="191"/>
      <c r="L77" s="191"/>
      <c r="M77" s="191"/>
      <c r="N77" s="191"/>
      <c r="O77" s="191"/>
      <c r="P77" s="191"/>
      <c r="Q77" s="191"/>
      <c r="R77" s="191"/>
      <c r="S77" s="191"/>
      <c r="T77" s="191"/>
      <c r="U77" s="191"/>
      <c r="V77" s="191"/>
      <c r="W77" s="191"/>
      <c r="X77" s="191"/>
      <c r="Y77" s="191"/>
      <c r="Z77" s="191"/>
      <c r="AA77" s="191"/>
      <c r="AB77" s="191"/>
      <c r="AC77" s="191"/>
      <c r="AD77" s="191"/>
      <c r="AE77" s="191"/>
      <c r="AF77" s="191"/>
      <c r="AG77" s="191"/>
      <c r="AH77" s="191"/>
      <c r="AI77" s="191"/>
      <c r="AJ77" s="191"/>
      <c r="AK77" s="191"/>
      <c r="AL77" s="191"/>
      <c r="AM77" s="191"/>
      <c r="AN77" s="191"/>
      <c r="AO77" s="191"/>
      <c r="AP77" s="191"/>
      <c r="AQ77" s="191"/>
      <c r="AR77" s="191"/>
      <c r="AS77" s="191"/>
      <c r="AT77" s="191"/>
      <c r="AU77" s="191"/>
      <c r="AV77" s="191"/>
      <c r="AW77" s="191"/>
      <c r="AX77" s="191"/>
      <c r="AY77" s="191"/>
      <c r="AZ77" s="191"/>
      <c r="BA77" s="191"/>
    </row>
    <row r="78" spans="1:53" hidden="1">
      <c r="A78" s="191"/>
      <c r="B78" s="191"/>
      <c r="C78" s="191"/>
      <c r="D78" s="191"/>
      <c r="E78" s="191"/>
      <c r="F78" s="191"/>
      <c r="G78" s="191"/>
      <c r="H78" s="191"/>
      <c r="I78" s="191"/>
      <c r="J78" s="191"/>
      <c r="K78" s="191"/>
      <c r="L78" s="191"/>
      <c r="M78" s="191"/>
      <c r="N78" s="191"/>
      <c r="O78" s="191"/>
      <c r="P78" s="191"/>
      <c r="Q78" s="191"/>
      <c r="R78" s="191"/>
      <c r="S78" s="191"/>
      <c r="T78" s="191"/>
      <c r="U78" s="191"/>
      <c r="V78" s="191"/>
      <c r="W78" s="191"/>
      <c r="X78" s="191"/>
      <c r="Y78" s="191"/>
      <c r="Z78" s="191"/>
      <c r="AA78" s="191"/>
      <c r="AB78" s="191"/>
      <c r="AC78" s="191"/>
      <c r="AD78" s="191"/>
      <c r="AE78" s="191"/>
      <c r="AF78" s="191"/>
      <c r="AG78" s="191"/>
      <c r="AH78" s="191"/>
      <c r="AI78" s="191"/>
      <c r="AJ78" s="191"/>
      <c r="AK78" s="191"/>
      <c r="AL78" s="191"/>
      <c r="AM78" s="191"/>
      <c r="AN78" s="191"/>
      <c r="AO78" s="191"/>
      <c r="AP78" s="191"/>
      <c r="AQ78" s="191"/>
      <c r="AR78" s="191"/>
      <c r="AS78" s="191"/>
      <c r="AT78" s="191"/>
      <c r="AU78" s="191"/>
      <c r="AV78" s="191"/>
      <c r="AW78" s="191"/>
      <c r="AX78" s="191"/>
      <c r="AY78" s="191"/>
      <c r="AZ78" s="191"/>
      <c r="BA78" s="191"/>
    </row>
    <row r="79" spans="1:53" hidden="1">
      <c r="A79" s="191"/>
      <c r="B79" s="191"/>
      <c r="C79" s="191"/>
      <c r="D79" s="191"/>
      <c r="E79" s="191"/>
      <c r="F79" s="191"/>
      <c r="G79" s="191"/>
      <c r="H79" s="191"/>
      <c r="I79" s="191"/>
      <c r="J79" s="191"/>
      <c r="K79" s="191"/>
      <c r="L79" s="191"/>
      <c r="M79" s="191"/>
      <c r="N79" s="191"/>
      <c r="O79" s="191"/>
      <c r="P79" s="191"/>
      <c r="Q79" s="191"/>
      <c r="R79" s="191"/>
      <c r="S79" s="191"/>
      <c r="T79" s="191"/>
      <c r="U79" s="191"/>
      <c r="V79" s="191"/>
      <c r="W79" s="191"/>
      <c r="X79" s="191"/>
      <c r="Y79" s="191"/>
      <c r="Z79" s="191"/>
      <c r="AA79" s="191"/>
      <c r="AB79" s="191"/>
      <c r="AC79" s="191"/>
      <c r="AD79" s="191"/>
      <c r="AE79" s="191"/>
      <c r="AF79" s="191"/>
      <c r="AG79" s="191"/>
      <c r="AH79" s="191"/>
      <c r="AI79" s="191"/>
      <c r="AJ79" s="191"/>
      <c r="AK79" s="191"/>
      <c r="AL79" s="191"/>
      <c r="AM79" s="191"/>
      <c r="AN79" s="191"/>
      <c r="AO79" s="191"/>
      <c r="AP79" s="191"/>
      <c r="AQ79" s="191"/>
      <c r="AR79" s="191"/>
      <c r="AS79" s="191"/>
      <c r="AT79" s="191"/>
      <c r="AU79" s="191"/>
      <c r="AV79" s="191"/>
      <c r="AW79" s="191"/>
      <c r="AX79" s="191"/>
      <c r="AY79" s="191"/>
      <c r="AZ79" s="191"/>
      <c r="BA79" s="191"/>
    </row>
    <row r="80" spans="1:53" hidden="1">
      <c r="A80" s="191"/>
      <c r="B80" s="191"/>
      <c r="C80" s="191"/>
      <c r="D80" s="191"/>
      <c r="E80" s="191"/>
      <c r="F80" s="191"/>
      <c r="G80" s="191"/>
      <c r="H80" s="191"/>
      <c r="I80" s="191"/>
      <c r="J80" s="191"/>
      <c r="K80" s="191"/>
      <c r="L80" s="191"/>
      <c r="M80" s="191"/>
      <c r="N80" s="191"/>
      <c r="O80" s="191"/>
      <c r="P80" s="191"/>
      <c r="Q80" s="191"/>
      <c r="R80" s="191"/>
      <c r="S80" s="191"/>
      <c r="T80" s="191"/>
      <c r="U80" s="191"/>
      <c r="V80" s="191"/>
      <c r="W80" s="191"/>
      <c r="X80" s="191"/>
      <c r="Y80" s="191"/>
      <c r="Z80" s="191"/>
      <c r="AA80" s="191"/>
      <c r="AB80" s="191"/>
      <c r="AC80" s="191"/>
      <c r="AD80" s="191"/>
      <c r="AE80" s="191"/>
      <c r="AF80" s="191"/>
      <c r="AG80" s="191"/>
      <c r="AH80" s="191"/>
      <c r="AI80" s="191"/>
      <c r="AJ80" s="191"/>
      <c r="AK80" s="191"/>
      <c r="AL80" s="191"/>
      <c r="AM80" s="191"/>
      <c r="AN80" s="191"/>
      <c r="AO80" s="191"/>
      <c r="AP80" s="191"/>
      <c r="AQ80" s="191"/>
      <c r="AR80" s="191"/>
      <c r="AS80" s="191"/>
      <c r="AT80" s="191"/>
      <c r="AU80" s="191"/>
      <c r="AV80" s="191"/>
      <c r="AW80" s="191"/>
      <c r="AX80" s="191"/>
      <c r="AY80" s="191"/>
      <c r="AZ80" s="191"/>
      <c r="BA80" s="191"/>
    </row>
    <row r="81" spans="1:53" hidden="1">
      <c r="A81" s="191"/>
      <c r="B81" s="191"/>
      <c r="C81" s="191"/>
      <c r="D81" s="191"/>
      <c r="E81" s="191"/>
      <c r="F81" s="191"/>
      <c r="G81" s="191"/>
      <c r="H81" s="191"/>
      <c r="I81" s="191"/>
      <c r="J81" s="191"/>
      <c r="K81" s="191"/>
      <c r="L81" s="191"/>
      <c r="M81" s="191"/>
      <c r="N81" s="191"/>
      <c r="O81" s="191"/>
      <c r="P81" s="191"/>
      <c r="Q81" s="191"/>
      <c r="R81" s="191"/>
      <c r="S81" s="191"/>
      <c r="T81" s="191"/>
      <c r="U81" s="191"/>
      <c r="V81" s="191"/>
      <c r="W81" s="191"/>
      <c r="X81" s="191"/>
      <c r="Y81" s="191"/>
      <c r="Z81" s="191"/>
      <c r="AA81" s="191"/>
      <c r="AB81" s="191"/>
      <c r="AC81" s="191"/>
      <c r="AD81" s="191"/>
      <c r="AE81" s="191"/>
      <c r="AF81" s="191"/>
      <c r="AG81" s="191"/>
      <c r="AH81" s="191"/>
      <c r="AI81" s="191"/>
      <c r="AJ81" s="191"/>
      <c r="AK81" s="191"/>
      <c r="AL81" s="191"/>
      <c r="AM81" s="191"/>
      <c r="AN81" s="191"/>
      <c r="AO81" s="191"/>
      <c r="AP81" s="191"/>
      <c r="AQ81" s="191"/>
      <c r="AR81" s="191"/>
      <c r="AS81" s="191"/>
      <c r="AT81" s="191"/>
      <c r="AU81" s="191"/>
      <c r="AV81" s="191"/>
      <c r="AW81" s="191"/>
      <c r="AX81" s="191"/>
      <c r="AY81" s="191"/>
      <c r="AZ81" s="191"/>
      <c r="BA81" s="191"/>
    </row>
    <row r="82" spans="1:53" hidden="1">
      <c r="A82" s="191"/>
      <c r="B82" s="191"/>
      <c r="C82" s="191"/>
      <c r="D82" s="191"/>
      <c r="E82" s="191"/>
      <c r="F82" s="191"/>
      <c r="G82" s="191"/>
      <c r="H82" s="191"/>
      <c r="I82" s="191"/>
      <c r="J82" s="191"/>
      <c r="K82" s="191"/>
      <c r="L82" s="191"/>
      <c r="M82" s="191"/>
      <c r="N82" s="191"/>
      <c r="O82" s="191"/>
      <c r="P82" s="191"/>
      <c r="Q82" s="191"/>
      <c r="R82" s="191"/>
      <c r="S82" s="191"/>
      <c r="T82" s="191"/>
      <c r="U82" s="191"/>
      <c r="V82" s="191"/>
      <c r="W82" s="191"/>
      <c r="X82" s="191"/>
      <c r="Y82" s="191"/>
      <c r="Z82" s="191"/>
      <c r="AA82" s="191"/>
      <c r="AB82" s="191"/>
      <c r="AC82" s="191"/>
      <c r="AD82" s="191"/>
      <c r="AE82" s="191"/>
      <c r="AF82" s="191"/>
      <c r="AG82" s="191"/>
      <c r="AH82" s="191"/>
      <c r="AI82" s="191"/>
      <c r="AJ82" s="191"/>
      <c r="AK82" s="191"/>
      <c r="AL82" s="191"/>
      <c r="AM82" s="191"/>
      <c r="AN82" s="191"/>
      <c r="AO82" s="191"/>
      <c r="AP82" s="191"/>
      <c r="AQ82" s="191"/>
      <c r="AR82" s="191"/>
      <c r="AS82" s="191"/>
      <c r="AT82" s="191"/>
      <c r="AU82" s="191"/>
      <c r="AV82" s="191"/>
      <c r="AW82" s="191"/>
      <c r="AX82" s="191"/>
      <c r="AY82" s="191"/>
      <c r="AZ82" s="191"/>
      <c r="BA82" s="191"/>
    </row>
    <row r="83" spans="1:53" hidden="1">
      <c r="AB83" s="191"/>
      <c r="AC83" s="191"/>
      <c r="AD83" s="191"/>
      <c r="AE83" s="191"/>
      <c r="AF83" s="191"/>
      <c r="AG83" s="191"/>
      <c r="AH83" s="191"/>
      <c r="AI83" s="191"/>
      <c r="AJ83" s="191"/>
      <c r="AK83" s="191"/>
      <c r="AL83" s="191"/>
      <c r="AM83" s="191"/>
      <c r="AN83" s="191"/>
      <c r="AO83" s="191"/>
      <c r="AP83" s="191"/>
      <c r="AQ83" s="191"/>
      <c r="AR83" s="191"/>
      <c r="AS83" s="191"/>
      <c r="AT83" s="191"/>
      <c r="AU83" s="191"/>
      <c r="AV83" s="191"/>
      <c r="AW83" s="191"/>
      <c r="AX83" s="191"/>
      <c r="AY83" s="191"/>
      <c r="AZ83" s="191"/>
      <c r="BA83" s="191"/>
    </row>
  </sheetData>
  <sheetProtection insertHyperlinks="0"/>
  <mergeCells count="12">
    <mergeCell ref="D22:E22"/>
    <mergeCell ref="D23:E23"/>
    <mergeCell ref="D11:E11"/>
    <mergeCell ref="D10:E10"/>
    <mergeCell ref="G16:H16"/>
    <mergeCell ref="G17:H17"/>
    <mergeCell ref="C13:F13"/>
    <mergeCell ref="Q10:R10"/>
    <mergeCell ref="Q11:R11"/>
    <mergeCell ref="T16:U16"/>
    <mergeCell ref="T17:U17"/>
    <mergeCell ref="P13:S13"/>
  </mergeCells>
  <pageMargins left="0.25" right="0.25" top="0.75" bottom="0.75" header="0.3" footer="0.3"/>
  <pageSetup paperSize="9" scale="54" orientation="landscape" horizontalDpi="300" verticalDpi="3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sProd">
    <pageSetUpPr fitToPage="1"/>
  </sheetPr>
  <dimension ref="A1:AT82"/>
  <sheetViews>
    <sheetView workbookViewId="0">
      <selection activeCell="O24" sqref="O24"/>
    </sheetView>
  </sheetViews>
  <sheetFormatPr baseColWidth="10" defaultColWidth="0" defaultRowHeight="13.8" zeroHeight="1"/>
  <cols>
    <col min="1" max="1" width="1.3984375" style="20" customWidth="1"/>
    <col min="2" max="2" width="8.8984375" style="20" customWidth="1"/>
    <col min="3" max="3" width="26.09765625" style="20" customWidth="1"/>
    <col min="4" max="5" width="12.8984375" customWidth="1"/>
    <col min="6" max="6" width="12.59765625" customWidth="1"/>
    <col min="7" max="7" width="12.09765625" customWidth="1"/>
    <col min="8" max="9" width="11.59765625" style="20" customWidth="1"/>
    <col min="10" max="10" width="2" style="20" customWidth="1"/>
    <col min="11" max="12" width="11.09765625" style="20" customWidth="1"/>
    <col min="13" max="13" width="11.3984375" style="20" customWidth="1"/>
    <col min="14" max="15" width="11.3984375" style="20" hidden="1"/>
    <col min="16" max="18" width="11.3984375" hidden="1"/>
    <col min="19" max="34" width="10.8984375" hidden="1"/>
    <col min="35" max="46" width="9" hidden="1"/>
    <col min="47" max="16384" width="11.09765625" hidden="1"/>
  </cols>
  <sheetData>
    <row r="1" spans="1:46" s="177" customFormat="1" ht="12" customHeight="1"/>
    <row r="2" spans="1:46" s="177" customFormat="1" ht="12" customHeight="1"/>
    <row r="3" spans="1:46" s="177" customFormat="1" ht="12" customHeight="1"/>
    <row r="4" spans="1:46" s="20" customFormat="1" ht="42" customHeight="1">
      <c r="A4" s="178"/>
      <c r="B4" s="185" t="s">
        <v>206</v>
      </c>
      <c r="C4" s="178"/>
      <c r="D4" s="178"/>
      <c r="E4" s="178"/>
      <c r="F4" s="178"/>
      <c r="G4" s="178"/>
      <c r="H4" s="178"/>
      <c r="I4" s="178"/>
      <c r="J4" s="178"/>
      <c r="K4" s="179"/>
      <c r="L4" s="179"/>
      <c r="M4" s="114"/>
      <c r="N4" s="114"/>
      <c r="O4" s="114"/>
      <c r="P4" s="114"/>
      <c r="Q4" s="114"/>
      <c r="R4" s="114"/>
      <c r="S4" s="179"/>
      <c r="T4" s="179"/>
      <c r="U4" s="179"/>
      <c r="V4" s="179"/>
      <c r="W4" s="179"/>
      <c r="X4" s="179"/>
      <c r="Y4" s="179"/>
      <c r="Z4"/>
      <c r="AA4"/>
      <c r="AB4"/>
      <c r="AC4"/>
      <c r="AD4"/>
      <c r="AE4"/>
      <c r="AF4"/>
      <c r="AG4"/>
      <c r="AH4"/>
    </row>
    <row r="5" spans="1:46" s="20" customFormat="1" ht="18" customHeight="1" thickBot="1">
      <c r="A5" s="179"/>
      <c r="B5" s="179"/>
      <c r="C5" s="179"/>
      <c r="D5" s="179"/>
      <c r="E5" s="179"/>
      <c r="F5" s="179"/>
      <c r="G5" s="179"/>
      <c r="H5" s="179"/>
      <c r="I5" s="179"/>
      <c r="J5" s="179"/>
      <c r="K5" s="180"/>
      <c r="L5" s="179"/>
      <c r="M5" s="114"/>
      <c r="N5" s="114"/>
      <c r="O5" s="114"/>
      <c r="P5" s="114"/>
      <c r="Q5" s="114"/>
      <c r="R5" s="114"/>
      <c r="S5" s="179"/>
      <c r="T5" s="179"/>
      <c r="U5" s="179"/>
      <c r="V5" s="179"/>
      <c r="W5" s="179"/>
      <c r="X5" s="179"/>
      <c r="Y5" s="179"/>
      <c r="Z5"/>
      <c r="AA5"/>
      <c r="AB5"/>
      <c r="AC5"/>
      <c r="AD5"/>
      <c r="AE5"/>
      <c r="AF5"/>
      <c r="AG5"/>
      <c r="AH5"/>
    </row>
    <row r="6" spans="1:46" s="20" customFormat="1" ht="14.4" customHeight="1">
      <c r="A6" s="179"/>
      <c r="B6" s="179"/>
      <c r="C6" s="179"/>
      <c r="D6" s="541" t="s">
        <v>62</v>
      </c>
      <c r="E6" s="542"/>
      <c r="F6" s="545" t="s">
        <v>61</v>
      </c>
      <c r="G6" s="542"/>
      <c r="H6" s="529" t="s">
        <v>102</v>
      </c>
      <c r="I6" s="530"/>
      <c r="J6" s="179"/>
      <c r="K6" s="179"/>
      <c r="L6" s="179"/>
      <c r="M6" s="541" t="s">
        <v>62</v>
      </c>
      <c r="N6" s="545" t="s">
        <v>61</v>
      </c>
      <c r="O6" s="529" t="s">
        <v>102</v>
      </c>
      <c r="P6" s="530"/>
      <c r="Q6" s="179"/>
      <c r="R6" s="541" t="s">
        <v>62</v>
      </c>
      <c r="S6" s="545" t="s">
        <v>61</v>
      </c>
      <c r="T6" s="529" t="s">
        <v>102</v>
      </c>
      <c r="U6" s="530"/>
      <c r="V6" s="179"/>
      <c r="W6" s="179"/>
      <c r="X6" s="179"/>
      <c r="Y6" s="179"/>
      <c r="Z6"/>
      <c r="AA6"/>
      <c r="AB6"/>
      <c r="AC6"/>
      <c r="AD6"/>
      <c r="AE6"/>
      <c r="AF6"/>
      <c r="AG6"/>
      <c r="AH6"/>
    </row>
    <row r="7" spans="1:46" s="20" customFormat="1" ht="14.4" customHeight="1">
      <c r="A7" s="179"/>
      <c r="B7" s="179"/>
      <c r="C7" s="179"/>
      <c r="D7" s="543"/>
      <c r="E7" s="544"/>
      <c r="F7" s="546"/>
      <c r="G7" s="547"/>
      <c r="H7" s="531"/>
      <c r="I7" s="532"/>
      <c r="J7" s="179"/>
      <c r="K7" s="179"/>
      <c r="L7" s="179"/>
      <c r="M7" s="543"/>
      <c r="N7" s="546"/>
      <c r="O7" s="531"/>
      <c r="P7" s="532"/>
      <c r="Q7" s="179"/>
      <c r="R7" s="543"/>
      <c r="S7" s="546"/>
      <c r="T7" s="531"/>
      <c r="U7" s="532"/>
      <c r="V7" s="179"/>
      <c r="W7" s="179"/>
      <c r="X7" s="179"/>
      <c r="Y7" s="179"/>
      <c r="Z7"/>
      <c r="AA7"/>
      <c r="AB7"/>
      <c r="AC7"/>
      <c r="AD7"/>
      <c r="AE7"/>
      <c r="AF7"/>
      <c r="AG7"/>
      <c r="AH7"/>
    </row>
    <row r="8" spans="1:46" s="20" customFormat="1" ht="15" customHeight="1">
      <c r="A8" s="179"/>
      <c r="B8" s="179"/>
      <c r="C8" s="184"/>
      <c r="D8" s="110" t="s">
        <v>168</v>
      </c>
      <c r="E8" s="113" t="s">
        <v>167</v>
      </c>
      <c r="F8" s="533" t="s">
        <v>60</v>
      </c>
      <c r="G8" s="533" t="s">
        <v>63</v>
      </c>
      <c r="H8" s="531"/>
      <c r="I8" s="532"/>
      <c r="J8" s="179"/>
      <c r="K8" s="179"/>
      <c r="L8" s="179"/>
      <c r="M8" s="110" t="s">
        <v>168</v>
      </c>
      <c r="N8" s="533" t="s">
        <v>60</v>
      </c>
      <c r="O8" s="531"/>
      <c r="P8" s="532"/>
      <c r="Q8" s="179"/>
      <c r="R8" s="110" t="s">
        <v>168</v>
      </c>
      <c r="S8" s="533" t="s">
        <v>60</v>
      </c>
      <c r="T8" s="531"/>
      <c r="U8" s="532"/>
      <c r="V8" s="179"/>
      <c r="W8" s="179"/>
      <c r="X8" s="179"/>
      <c r="Y8" s="179"/>
      <c r="Z8"/>
      <c r="AA8"/>
      <c r="AB8"/>
      <c r="AC8"/>
      <c r="AD8"/>
      <c r="AE8"/>
      <c r="AF8"/>
      <c r="AG8"/>
      <c r="AH8"/>
    </row>
    <row r="9" spans="1:46" s="73" customFormat="1" ht="22.65" customHeight="1" thickBot="1">
      <c r="A9" s="181"/>
      <c r="B9" s="181"/>
      <c r="C9" s="181"/>
      <c r="D9" s="111" t="s">
        <v>100</v>
      </c>
      <c r="E9" s="112" t="s">
        <v>101</v>
      </c>
      <c r="F9" s="548"/>
      <c r="G9" s="548"/>
      <c r="H9" s="128" t="s">
        <v>100</v>
      </c>
      <c r="I9" s="129" t="s">
        <v>101</v>
      </c>
      <c r="J9" s="181"/>
      <c r="K9" s="181"/>
      <c r="L9" s="179"/>
      <c r="M9" s="111" t="s">
        <v>100</v>
      </c>
      <c r="N9" s="548"/>
      <c r="O9" s="128" t="s">
        <v>100</v>
      </c>
      <c r="P9" s="129" t="s">
        <v>101</v>
      </c>
      <c r="Q9" s="179"/>
      <c r="R9" s="111" t="s">
        <v>100</v>
      </c>
      <c r="S9" s="548"/>
      <c r="T9" s="128" t="s">
        <v>100</v>
      </c>
      <c r="U9" s="129" t="s">
        <v>101</v>
      </c>
      <c r="V9" s="181"/>
      <c r="W9" s="181"/>
      <c r="X9" s="181"/>
      <c r="Y9" s="181"/>
      <c r="Z9" s="11"/>
      <c r="AA9" s="11"/>
      <c r="AB9" s="11"/>
      <c r="AC9" s="11"/>
      <c r="AD9" s="11"/>
      <c r="AE9" s="11"/>
      <c r="AF9" s="11"/>
      <c r="AG9" s="11"/>
      <c r="AH9" s="11"/>
    </row>
    <row r="10" spans="1:46" ht="22.65" customHeight="1">
      <c r="A10" s="178"/>
      <c r="B10" s="535" t="s">
        <v>182</v>
      </c>
      <c r="C10" s="116" t="s">
        <v>105</v>
      </c>
      <c r="D10" s="88">
        <f>'HOGSTMASKIN (G0)'!D30</f>
        <v>3.9586505751919279</v>
      </c>
      <c r="E10" s="86"/>
      <c r="F10" s="118"/>
      <c r="G10" s="87"/>
      <c r="H10" s="91">
        <f>D10</f>
        <v>3.9586505751919279</v>
      </c>
      <c r="I10" s="94">
        <f>D10*F$12</f>
        <v>4.7503806902303136</v>
      </c>
      <c r="J10" s="178"/>
      <c r="K10" s="179"/>
      <c r="L10" s="179"/>
      <c r="M10" s="495">
        <f>'HOGSTMASKIN (G0)'!D30</f>
        <v>3.9586505751919279</v>
      </c>
      <c r="N10" s="118"/>
      <c r="O10" s="91">
        <f>M10</f>
        <v>3.9586505751919279</v>
      </c>
      <c r="P10" s="94">
        <f>M10*N$12</f>
        <v>4.7503806902303136</v>
      </c>
      <c r="Q10" s="179"/>
      <c r="R10" s="495">
        <f>'HOGSTMASKIN (G0)'!D30</f>
        <v>3.9586505751919279</v>
      </c>
      <c r="S10" s="118"/>
      <c r="T10" s="91">
        <f>R10</f>
        <v>3.9586505751919279</v>
      </c>
      <c r="U10" s="94">
        <f>R10*S$12</f>
        <v>4.7503806902303136</v>
      </c>
      <c r="V10" s="179"/>
      <c r="W10" s="179"/>
      <c r="X10" s="179"/>
      <c r="Y10" s="179"/>
    </row>
    <row r="11" spans="1:46" ht="22.65" customHeight="1">
      <c r="A11" s="179"/>
      <c r="B11" s="536"/>
      <c r="C11" s="117" t="s">
        <v>106</v>
      </c>
      <c r="D11" s="89">
        <f>'HOGSTMASKIN (G0)'!K18</f>
        <v>31.728000000000002</v>
      </c>
      <c r="E11" s="83"/>
      <c r="F11" s="96" t="s">
        <v>103</v>
      </c>
      <c r="G11" s="84"/>
      <c r="H11" s="92">
        <f>D11</f>
        <v>31.728000000000002</v>
      </c>
      <c r="I11" s="95">
        <f>D11*F$12</f>
        <v>38.073599999999999</v>
      </c>
      <c r="J11" s="179"/>
      <c r="K11" s="179"/>
      <c r="L11" s="179"/>
      <c r="M11" s="496">
        <f>'HOGSTMASKIN (G0)'!Q18</f>
        <v>27.924000000000003</v>
      </c>
      <c r="N11" s="96" t="s">
        <v>103</v>
      </c>
      <c r="O11" s="92">
        <f>M11</f>
        <v>27.924000000000003</v>
      </c>
      <c r="P11" s="95">
        <f>M11*N$12</f>
        <v>33.508800000000001</v>
      </c>
      <c r="Q11" s="179"/>
      <c r="R11" s="496">
        <f>'HOGSTMASKIN (G0)'!W18</f>
        <v>18.599999999999998</v>
      </c>
      <c r="S11" s="96" t="s">
        <v>103</v>
      </c>
      <c r="T11" s="92">
        <f>R11</f>
        <v>18.599999999999998</v>
      </c>
      <c r="U11" s="95">
        <f>R11*S$12</f>
        <v>22.319999999999997</v>
      </c>
      <c r="V11" s="179"/>
      <c r="W11" s="179"/>
      <c r="X11" s="179"/>
      <c r="Y11" s="179"/>
    </row>
    <row r="12" spans="1:46" ht="22.65" customHeight="1">
      <c r="A12" s="179"/>
      <c r="B12" s="536"/>
      <c r="C12" s="117" t="s">
        <v>107</v>
      </c>
      <c r="D12" s="89">
        <f>'HOGSTMASKIN (G0)'!K30</f>
        <v>1.5</v>
      </c>
      <c r="E12" s="83"/>
      <c r="F12" s="97">
        <v>1.2</v>
      </c>
      <c r="G12" s="84"/>
      <c r="H12" s="92">
        <f>D12</f>
        <v>1.5</v>
      </c>
      <c r="I12" s="95">
        <f>D12*F$12</f>
        <v>1.7999999999999998</v>
      </c>
      <c r="J12" s="179"/>
      <c r="K12" s="179"/>
      <c r="L12" s="179"/>
      <c r="M12" s="496">
        <f>'HOGSTMASKIN (G0)'!K30</f>
        <v>1.5</v>
      </c>
      <c r="N12" s="97">
        <f>F12</f>
        <v>1.2</v>
      </c>
      <c r="O12" s="92">
        <f>M12</f>
        <v>1.5</v>
      </c>
      <c r="P12" s="95">
        <f>M12*N$12</f>
        <v>1.7999999999999998</v>
      </c>
      <c r="Q12" s="179"/>
      <c r="R12" s="496">
        <f>'HOGSTMASKIN (G0)'!K30</f>
        <v>1.5</v>
      </c>
      <c r="S12" s="97">
        <f>F12</f>
        <v>1.2</v>
      </c>
      <c r="T12" s="92">
        <f>R12</f>
        <v>1.5</v>
      </c>
      <c r="U12" s="95">
        <f>R12*S$12</f>
        <v>1.7999999999999998</v>
      </c>
      <c r="V12" s="179"/>
      <c r="W12" s="179"/>
      <c r="X12" s="179"/>
      <c r="Y12" s="179"/>
    </row>
    <row r="13" spans="1:46" ht="22.65" customHeight="1">
      <c r="A13" s="179"/>
      <c r="B13" s="536"/>
      <c r="C13" s="170" t="s">
        <v>181</v>
      </c>
      <c r="D13" s="171"/>
      <c r="E13" s="172"/>
      <c r="F13" s="173"/>
      <c r="G13" s="174"/>
      <c r="H13" s="175">
        <f>D13</f>
        <v>0</v>
      </c>
      <c r="I13" s="176">
        <f>D13*F$12</f>
        <v>0</v>
      </c>
      <c r="J13" s="179"/>
      <c r="K13" s="179"/>
      <c r="L13" s="179"/>
      <c r="M13" s="497"/>
      <c r="N13" s="173"/>
      <c r="O13" s="175">
        <f>M13</f>
        <v>0</v>
      </c>
      <c r="P13" s="176">
        <f>M13*N$12</f>
        <v>0</v>
      </c>
      <c r="Q13" s="179"/>
      <c r="R13" s="497"/>
      <c r="S13" s="173"/>
      <c r="T13" s="175">
        <f>R13</f>
        <v>0</v>
      </c>
      <c r="U13" s="176">
        <f>R13*S$12</f>
        <v>0</v>
      </c>
      <c r="V13" s="179"/>
      <c r="W13" s="179"/>
      <c r="X13" s="179"/>
      <c r="Y13" s="179"/>
    </row>
    <row r="14" spans="1:46" ht="22.65" customHeight="1" thickBot="1">
      <c r="A14" s="179"/>
      <c r="B14" s="536"/>
      <c r="C14" s="117" t="s">
        <v>175</v>
      </c>
      <c r="D14" s="90">
        <f>'HOGSTMASKIN (G0)'!AD26</f>
        <v>2.7692307692307692</v>
      </c>
      <c r="E14" s="83"/>
      <c r="F14" s="85"/>
      <c r="G14" s="84"/>
      <c r="H14" s="108">
        <f>D14</f>
        <v>2.7692307692307692</v>
      </c>
      <c r="I14" s="109">
        <f>D14*F$12</f>
        <v>3.3230769230769228</v>
      </c>
      <c r="J14" s="179"/>
      <c r="K14" s="182" t="s">
        <v>176</v>
      </c>
      <c r="L14" s="179"/>
      <c r="M14" s="498">
        <f>'HOGSTMASKIN (G0)'!AD26</f>
        <v>2.7692307692307692</v>
      </c>
      <c r="N14" s="85"/>
      <c r="O14" s="108">
        <f>M14</f>
        <v>2.7692307692307692</v>
      </c>
      <c r="P14" s="109">
        <f>M14*N$12</f>
        <v>3.3230769230769228</v>
      </c>
      <c r="Q14" s="179"/>
      <c r="R14" s="498">
        <f>'HOGSTMASKIN (G0)'!AD26</f>
        <v>2.7692307692307692</v>
      </c>
      <c r="S14" s="85"/>
      <c r="T14" s="108">
        <f>R14</f>
        <v>2.7692307692307692</v>
      </c>
      <c r="U14" s="109">
        <f>R14*S$12</f>
        <v>3.3230769230769228</v>
      </c>
      <c r="V14" s="179"/>
      <c r="W14" s="179"/>
      <c r="X14" s="179"/>
      <c r="Y14" s="179"/>
    </row>
    <row r="15" spans="1:46" s="20" customFormat="1" ht="22.65" customHeight="1">
      <c r="A15" s="179"/>
      <c r="B15" s="536"/>
      <c r="C15" s="115" t="s">
        <v>108</v>
      </c>
      <c r="D15" s="105"/>
      <c r="E15" s="104"/>
      <c r="F15" s="101"/>
      <c r="G15" s="102"/>
      <c r="H15" s="106">
        <f>SUM(H10:H14)</f>
        <v>39.955881344422693</v>
      </c>
      <c r="I15" s="107">
        <f>SUM(I10:I14)</f>
        <v>47.947057613307237</v>
      </c>
      <c r="J15" s="179"/>
      <c r="K15" s="179"/>
      <c r="L15" s="179"/>
      <c r="M15" s="499"/>
      <c r="N15" s="101"/>
      <c r="O15" s="106">
        <f>SUM(O10:O14)</f>
        <v>36.151881344422698</v>
      </c>
      <c r="P15" s="107">
        <f>SUM(P10:P14)</f>
        <v>43.382257613307239</v>
      </c>
      <c r="Q15" s="179"/>
      <c r="R15" s="499"/>
      <c r="S15" s="101"/>
      <c r="T15" s="106">
        <f>SUM(T10:T14)</f>
        <v>26.827881344422696</v>
      </c>
      <c r="U15" s="107">
        <f>SUM(U10:U14)</f>
        <v>32.193457613307231</v>
      </c>
      <c r="V15" s="179"/>
      <c r="W15" s="179"/>
      <c r="X15" s="179"/>
      <c r="Y15" s="179"/>
      <c r="Z15"/>
      <c r="AA15"/>
      <c r="AB15"/>
      <c r="AC15"/>
      <c r="AD15"/>
      <c r="AE15"/>
      <c r="AF15"/>
      <c r="AG15"/>
      <c r="AH15"/>
    </row>
    <row r="16" spans="1:46" s="20" customFormat="1" ht="22.65" customHeight="1" thickBot="1">
      <c r="A16" s="179"/>
      <c r="B16" s="537"/>
      <c r="C16" s="119" t="s">
        <v>109</v>
      </c>
      <c r="D16" s="120"/>
      <c r="E16" s="121"/>
      <c r="F16" s="122"/>
      <c r="G16" s="123"/>
      <c r="H16" s="124">
        <f>3600/(H15/'HOGSTMASKIN (G0)'!$D$27)</f>
        <v>18.019875316816215</v>
      </c>
      <c r="I16" s="125">
        <f>3600/(I15/'HOGSTMASKIN (G0)'!$D$27)</f>
        <v>15.016562764013511</v>
      </c>
      <c r="J16" s="179"/>
      <c r="K16" s="179"/>
      <c r="L16" s="179"/>
      <c r="M16" s="500"/>
      <c r="N16" s="122"/>
      <c r="O16" s="124">
        <f>3600/(O15/'HOGSTMASKIN (G0)'!$D$27)</f>
        <v>19.915975966519856</v>
      </c>
      <c r="P16" s="125">
        <f>3600/(P15/'HOGSTMASKIN (G0)'!$D$27)</f>
        <v>16.596646638766547</v>
      </c>
      <c r="Q16" s="179"/>
      <c r="R16" s="500"/>
      <c r="S16" s="122"/>
      <c r="T16" s="124">
        <f>3600/(T15/'HOGSTMASKIN (G0)'!$D$27)</f>
        <v>26.837751023141539</v>
      </c>
      <c r="U16" s="125">
        <f>3600/(U15/'HOGSTMASKIN (G0)'!$D$27)</f>
        <v>22.364792519284617</v>
      </c>
      <c r="V16" s="179"/>
      <c r="W16" s="179"/>
      <c r="X16" s="179"/>
      <c r="Y16" s="179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</row>
    <row r="17" spans="1:46" s="20" customFormat="1" ht="19.5" customHeight="1" thickBot="1">
      <c r="A17" s="179"/>
      <c r="B17" s="179"/>
      <c r="C17" s="179"/>
      <c r="D17" s="179"/>
      <c r="E17" s="179"/>
      <c r="F17" s="179"/>
      <c r="G17" s="179"/>
      <c r="H17" s="179"/>
      <c r="I17" s="179"/>
      <c r="J17" s="179"/>
      <c r="K17" s="179"/>
      <c r="L17" s="179"/>
      <c r="M17" s="179"/>
      <c r="N17" s="179"/>
      <c r="O17" s="179"/>
      <c r="P17" s="179"/>
      <c r="Q17" s="179"/>
      <c r="R17" s="179"/>
      <c r="S17" s="179"/>
      <c r="T17" s="179"/>
      <c r="U17" s="179"/>
      <c r="V17" s="179"/>
      <c r="W17" s="179"/>
      <c r="X17" s="179"/>
      <c r="Y17" s="179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</row>
    <row r="18" spans="1:46" s="20" customFormat="1">
      <c r="A18" s="179"/>
      <c r="B18" s="179"/>
      <c r="C18" s="179"/>
      <c r="D18" s="541" t="s">
        <v>62</v>
      </c>
      <c r="E18" s="542"/>
      <c r="F18" s="545" t="s">
        <v>61</v>
      </c>
      <c r="G18" s="542"/>
      <c r="H18" s="529" t="s">
        <v>102</v>
      </c>
      <c r="I18" s="530"/>
      <c r="J18" s="179"/>
      <c r="K18" s="179"/>
      <c r="L18" s="179"/>
      <c r="M18" s="179"/>
      <c r="N18" s="179"/>
      <c r="O18" s="179"/>
      <c r="P18" s="179"/>
      <c r="Q18" s="179"/>
      <c r="R18" s="179"/>
      <c r="S18" s="179"/>
      <c r="T18" s="179"/>
      <c r="U18" s="179"/>
      <c r="V18" s="179"/>
      <c r="W18" s="179"/>
      <c r="X18" s="179"/>
      <c r="Y18" s="179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</row>
    <row r="19" spans="1:46" s="20" customFormat="1">
      <c r="A19" s="179"/>
      <c r="B19" s="179"/>
      <c r="C19" s="179"/>
      <c r="D19" s="543"/>
      <c r="E19" s="544"/>
      <c r="F19" s="546"/>
      <c r="G19" s="547"/>
      <c r="H19" s="531"/>
      <c r="I19" s="532"/>
      <c r="J19" s="179"/>
      <c r="K19" s="179"/>
      <c r="L19" s="179"/>
      <c r="M19" s="179"/>
      <c r="N19" s="179"/>
      <c r="O19" s="179"/>
      <c r="P19" s="179"/>
      <c r="Q19" s="179"/>
      <c r="R19" s="179"/>
      <c r="S19" s="179"/>
      <c r="T19" s="179"/>
      <c r="U19" s="179"/>
      <c r="V19" s="179"/>
      <c r="W19" s="179"/>
      <c r="X19" s="179"/>
      <c r="Y19" s="17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</row>
    <row r="20" spans="1:46" s="20" customFormat="1" ht="15" customHeight="1">
      <c r="A20" s="179"/>
      <c r="B20" s="179"/>
      <c r="C20" s="184"/>
      <c r="D20" s="110" t="s">
        <v>167</v>
      </c>
      <c r="E20" s="113" t="s">
        <v>169</v>
      </c>
      <c r="F20" s="533" t="s">
        <v>60</v>
      </c>
      <c r="G20" s="533" t="s">
        <v>63</v>
      </c>
      <c r="H20" s="531"/>
      <c r="I20" s="532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</row>
    <row r="21" spans="1:46" s="73" customFormat="1" ht="22.65" customHeight="1" thickBot="1">
      <c r="A21" s="181"/>
      <c r="B21" s="181"/>
      <c r="C21" s="181"/>
      <c r="D21" s="111" t="s">
        <v>100</v>
      </c>
      <c r="E21" s="112" t="s">
        <v>101</v>
      </c>
      <c r="F21" s="534"/>
      <c r="G21" s="534"/>
      <c r="H21" s="128" t="s">
        <v>100</v>
      </c>
      <c r="I21" s="129" t="s">
        <v>101</v>
      </c>
      <c r="J21" s="181"/>
      <c r="K21" s="181"/>
      <c r="L21" s="179"/>
      <c r="M21" s="179"/>
      <c r="N21" s="179"/>
      <c r="O21" s="179"/>
      <c r="P21" s="179"/>
      <c r="Q21" s="179"/>
      <c r="R21" s="179"/>
      <c r="S21" s="181"/>
      <c r="T21" s="181"/>
      <c r="U21" s="181"/>
      <c r="V21" s="181"/>
      <c r="W21" s="181"/>
      <c r="X21" s="181"/>
      <c r="Y21" s="18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</row>
    <row r="22" spans="1:46" ht="22.65" customHeight="1" thickBot="1">
      <c r="A22" s="179"/>
      <c r="B22" s="538" t="s">
        <v>64</v>
      </c>
      <c r="C22" s="103" t="s">
        <v>110</v>
      </c>
      <c r="D22" s="86"/>
      <c r="E22" s="88">
        <f>'LASSBÆRER (G15)'!D27</f>
        <v>29.871703444005391</v>
      </c>
      <c r="F22" s="87"/>
      <c r="G22" s="71"/>
      <c r="H22" s="127">
        <f t="shared" ref="H22:H27" si="0">E22*G$25</f>
        <v>23.897362755204313</v>
      </c>
      <c r="I22" s="94">
        <f t="shared" ref="I22:I27" si="1">E22</f>
        <v>29.871703444005391</v>
      </c>
      <c r="J22" s="179"/>
      <c r="K22" s="179"/>
      <c r="L22" s="179"/>
      <c r="M22" s="179"/>
      <c r="N22" s="179"/>
      <c r="O22" s="179"/>
      <c r="P22" s="179"/>
      <c r="Q22" s="179"/>
      <c r="R22" s="179"/>
      <c r="S22" s="179"/>
      <c r="T22" s="179"/>
      <c r="U22" s="179"/>
      <c r="V22" s="179"/>
      <c r="W22" s="179"/>
      <c r="X22" s="179"/>
      <c r="Y22" s="179"/>
    </row>
    <row r="23" spans="1:46" ht="22.65" customHeight="1">
      <c r="A23" s="179"/>
      <c r="B23" s="539"/>
      <c r="C23" s="73" t="s">
        <v>173</v>
      </c>
      <c r="D23" s="83"/>
      <c r="E23" s="89">
        <f>'LASSBÆRER (G15)'!K20</f>
        <v>18.113207547169814</v>
      </c>
      <c r="F23" s="84"/>
      <c r="G23" s="96" t="s">
        <v>104</v>
      </c>
      <c r="H23" s="93">
        <f t="shared" si="0"/>
        <v>14.490566037735853</v>
      </c>
      <c r="I23" s="95">
        <f t="shared" si="1"/>
        <v>18.113207547169814</v>
      </c>
      <c r="J23" s="179"/>
      <c r="K23" s="179"/>
      <c r="L23" s="487"/>
      <c r="M23" s="71"/>
      <c r="N23" s="71"/>
      <c r="O23" s="488"/>
      <c r="P23" s="179"/>
      <c r="Q23" s="179"/>
      <c r="R23" s="179"/>
      <c r="S23" s="179"/>
      <c r="T23" s="179"/>
      <c r="U23" s="179"/>
      <c r="V23" s="179"/>
      <c r="W23" s="179"/>
      <c r="X23" s="179"/>
      <c r="Y23" s="179"/>
    </row>
    <row r="24" spans="1:46" ht="22.65" customHeight="1">
      <c r="A24" s="179"/>
      <c r="B24" s="539"/>
      <c r="C24" s="73" t="s">
        <v>174</v>
      </c>
      <c r="D24" s="83"/>
      <c r="E24" s="89">
        <f>'LASSBÆRER (G15)'!K37</f>
        <v>0</v>
      </c>
      <c r="F24" s="84"/>
      <c r="G24" s="96"/>
      <c r="H24" s="93">
        <f t="shared" si="0"/>
        <v>0</v>
      </c>
      <c r="I24" s="95">
        <f t="shared" si="1"/>
        <v>0</v>
      </c>
      <c r="J24" s="179"/>
      <c r="K24" s="179"/>
      <c r="L24" s="489" t="s">
        <v>423</v>
      </c>
      <c r="M24" s="490">
        <v>1</v>
      </c>
      <c r="O24" s="491">
        <f>CHOOSE(M24,I16,P16,U16)</f>
        <v>15.016562764013511</v>
      </c>
      <c r="P24" s="179"/>
      <c r="Q24" s="179"/>
      <c r="R24" s="179"/>
      <c r="S24" s="179"/>
      <c r="T24" s="179"/>
      <c r="U24" s="179"/>
      <c r="V24" s="179"/>
      <c r="W24" s="179"/>
      <c r="X24" s="179"/>
      <c r="Y24" s="179"/>
    </row>
    <row r="25" spans="1:46" ht="22.65" customHeight="1" thickBot="1">
      <c r="A25" s="179"/>
      <c r="B25" s="539"/>
      <c r="C25" s="73" t="s">
        <v>111</v>
      </c>
      <c r="D25" s="83"/>
      <c r="E25" s="171">
        <f>'LASSBÆRER (G15)'!R13</f>
        <v>-1.8</v>
      </c>
      <c r="F25" s="84"/>
      <c r="G25" s="97">
        <v>0.8</v>
      </c>
      <c r="H25" s="93">
        <f t="shared" si="0"/>
        <v>-1.4400000000000002</v>
      </c>
      <c r="I25" s="95">
        <f t="shared" si="1"/>
        <v>-1.8</v>
      </c>
      <c r="J25" s="179"/>
      <c r="K25" s="179"/>
      <c r="L25" s="492"/>
      <c r="M25" s="493"/>
      <c r="N25" s="493"/>
      <c r="O25" s="494"/>
      <c r="P25" s="179"/>
      <c r="Q25" s="179"/>
      <c r="R25" s="179"/>
      <c r="S25" s="179"/>
      <c r="T25" s="179"/>
      <c r="U25" s="179"/>
      <c r="V25" s="179"/>
      <c r="W25" s="179"/>
      <c r="X25" s="179"/>
      <c r="Y25" s="179"/>
    </row>
    <row r="26" spans="1:46" ht="22.65" customHeight="1">
      <c r="A26" s="179"/>
      <c r="B26" s="539"/>
      <c r="C26" s="73" t="s">
        <v>112</v>
      </c>
      <c r="D26" s="83"/>
      <c r="E26" s="90">
        <f>'LASSBÆRER (G15)'!R24</f>
        <v>3.6</v>
      </c>
      <c r="F26" s="84"/>
      <c r="G26" s="98"/>
      <c r="H26" s="93">
        <f t="shared" si="0"/>
        <v>2.8800000000000003</v>
      </c>
      <c r="I26" s="95">
        <f t="shared" si="1"/>
        <v>3.6</v>
      </c>
      <c r="J26" s="179"/>
      <c r="K26" s="179"/>
      <c r="L26" s="179"/>
      <c r="M26" s="179"/>
      <c r="N26" s="179"/>
      <c r="O26" s="179"/>
      <c r="P26" s="179"/>
      <c r="Q26" s="179"/>
      <c r="R26" s="179"/>
      <c r="S26" s="179"/>
      <c r="T26" s="179"/>
      <c r="U26" s="179"/>
      <c r="V26" s="179"/>
      <c r="W26" s="179"/>
      <c r="X26" s="179"/>
      <c r="Y26" s="179"/>
    </row>
    <row r="27" spans="1:46" ht="22.65" customHeight="1" thickBot="1">
      <c r="A27" s="179"/>
      <c r="B27" s="539"/>
      <c r="C27" s="73" t="s">
        <v>177</v>
      </c>
      <c r="D27" s="83"/>
      <c r="E27" s="90">
        <f>'LASSBÆRER (G15)'!R34</f>
        <v>1.2000000000000002</v>
      </c>
      <c r="F27" s="84"/>
      <c r="G27" s="99"/>
      <c r="H27" s="126">
        <f t="shared" si="0"/>
        <v>0.96000000000000019</v>
      </c>
      <c r="I27" s="109">
        <f t="shared" si="1"/>
        <v>1.2000000000000002</v>
      </c>
      <c r="J27" s="179"/>
      <c r="K27" s="179"/>
      <c r="L27" s="179"/>
      <c r="M27" s="179"/>
      <c r="N27" s="179"/>
      <c r="O27" s="179"/>
      <c r="P27" s="179"/>
      <c r="Q27" s="179"/>
      <c r="R27" s="179"/>
      <c r="S27" s="179"/>
      <c r="T27" s="179"/>
      <c r="U27" s="179"/>
      <c r="V27" s="179"/>
      <c r="W27" s="179"/>
      <c r="X27" s="179"/>
      <c r="Y27" s="179"/>
    </row>
    <row r="28" spans="1:46" s="20" customFormat="1" ht="22.65" customHeight="1">
      <c r="A28" s="179"/>
      <c r="B28" s="539"/>
      <c r="C28" s="100" t="s">
        <v>108</v>
      </c>
      <c r="D28" s="105"/>
      <c r="E28" s="104"/>
      <c r="F28" s="101"/>
      <c r="G28" s="102"/>
      <c r="H28" s="106">
        <f>SUM(H22:H27)</f>
        <v>40.787928792940171</v>
      </c>
      <c r="I28" s="107">
        <f>SUM(I22:I27)</f>
        <v>50.984910991175212</v>
      </c>
      <c r="J28" s="179"/>
      <c r="K28" s="179"/>
      <c r="L28" s="179"/>
      <c r="M28" s="179"/>
      <c r="N28" s="179"/>
      <c r="O28" s="179"/>
      <c r="P28" s="179"/>
      <c r="Q28" s="179"/>
      <c r="R28" s="179"/>
      <c r="S28" s="179"/>
      <c r="T28" s="179"/>
      <c r="U28" s="179"/>
      <c r="V28" s="179"/>
      <c r="W28" s="179"/>
      <c r="X28" s="179"/>
      <c r="Y28" s="179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</row>
    <row r="29" spans="1:46" s="20" customFormat="1" ht="22.65" customHeight="1" thickBot="1">
      <c r="A29" s="179"/>
      <c r="B29" s="540"/>
      <c r="C29" s="121" t="s">
        <v>109</v>
      </c>
      <c r="D29" s="120"/>
      <c r="E29" s="121"/>
      <c r="F29" s="122"/>
      <c r="G29" s="123"/>
      <c r="H29" s="124">
        <f>3600/(H28/'HOGSTMASKIN (G0)'!$D$27)</f>
        <v>17.652281479039509</v>
      </c>
      <c r="I29" s="125">
        <f>3600/(I28/'HOGSTMASKIN (G0)'!$D$27)</f>
        <v>14.121825183231605</v>
      </c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179"/>
      <c r="X29" s="179"/>
      <c r="Y29" s="17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</row>
    <row r="30" spans="1:46" s="20" customFormat="1">
      <c r="A30" s="179"/>
      <c r="B30" s="179"/>
      <c r="C30" s="179"/>
      <c r="D30" s="179"/>
      <c r="E30" s="179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</row>
    <row r="31" spans="1:46" s="20" customFormat="1" hidden="1">
      <c r="A31" s="179"/>
      <c r="B31" s="179"/>
      <c r="C31" s="179"/>
      <c r="D31" s="179"/>
      <c r="E31" s="179"/>
      <c r="F31" s="179"/>
      <c r="G31" s="179"/>
      <c r="H31" s="179"/>
      <c r="I31" s="179"/>
      <c r="J31" s="179"/>
      <c r="K31" s="179"/>
      <c r="L31" s="179"/>
      <c r="M31" s="179"/>
      <c r="N31" s="179"/>
      <c r="O31" s="179"/>
      <c r="P31" s="179"/>
      <c r="Q31" s="179"/>
      <c r="R31" s="179"/>
      <c r="S31" s="179"/>
      <c r="T31" s="179"/>
      <c r="U31" s="179"/>
      <c r="V31" s="179"/>
      <c r="W31" s="179"/>
      <c r="X31" s="179"/>
      <c r="Y31" s="179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</row>
    <row r="32" spans="1:46" s="20" customFormat="1" ht="11.1" hidden="1" customHeight="1">
      <c r="A32" s="179"/>
      <c r="B32" s="183"/>
      <c r="C32" s="183"/>
      <c r="D32" s="179"/>
      <c r="E32" s="179"/>
      <c r="F32" s="179"/>
      <c r="G32" s="179"/>
      <c r="H32" s="179"/>
      <c r="I32" s="179"/>
      <c r="J32" s="179"/>
      <c r="K32" s="179"/>
      <c r="L32" s="179"/>
      <c r="M32" s="179"/>
      <c r="N32" s="179"/>
      <c r="O32" s="179"/>
      <c r="P32" s="179"/>
      <c r="Q32" s="179"/>
      <c r="R32" s="179"/>
      <c r="S32" s="179"/>
      <c r="T32" s="179"/>
      <c r="U32" s="179"/>
      <c r="V32" s="179"/>
      <c r="W32" s="179"/>
      <c r="X32" s="179"/>
      <c r="Y32" s="179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</row>
    <row r="33" spans="1:46" s="20" customFormat="1" ht="21" hidden="1">
      <c r="A33" s="179"/>
      <c r="B33" s="183"/>
      <c r="C33" s="183"/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179"/>
      <c r="X33" s="179"/>
      <c r="Y33" s="179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</row>
    <row r="34" spans="1:46" s="20" customFormat="1" ht="19.350000000000001" hidden="1" customHeight="1">
      <c r="A34" s="179"/>
      <c r="B34" s="179"/>
      <c r="C34" s="179"/>
      <c r="D34" s="179"/>
      <c r="E34" s="179"/>
      <c r="F34" s="179"/>
      <c r="G34" s="179"/>
      <c r="H34" s="179"/>
      <c r="I34" s="179"/>
      <c r="J34" s="179"/>
      <c r="K34" s="179"/>
      <c r="L34" s="179"/>
      <c r="M34" s="179"/>
      <c r="N34" s="179"/>
      <c r="O34" s="179"/>
      <c r="P34" s="179"/>
      <c r="Q34" s="179"/>
      <c r="R34" s="179"/>
      <c r="S34" s="179"/>
      <c r="T34" s="179"/>
      <c r="U34" s="179"/>
      <c r="V34" s="179"/>
      <c r="W34" s="179"/>
      <c r="X34" s="179"/>
      <c r="Y34" s="179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</row>
    <row r="35" spans="1:46" s="20" customFormat="1" ht="21" hidden="1">
      <c r="A35" s="179"/>
      <c r="B35" s="179"/>
      <c r="C35" s="179"/>
      <c r="D35" s="183"/>
      <c r="E35" s="179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179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</row>
    <row r="36" spans="1:46" s="20" customFormat="1" ht="21" hidden="1">
      <c r="A36" s="179"/>
      <c r="B36" s="179"/>
      <c r="C36" s="179"/>
      <c r="D36" s="183"/>
      <c r="E36" s="179"/>
      <c r="F36" s="179"/>
      <c r="G36" s="179"/>
      <c r="H36" s="179"/>
      <c r="I36" s="179"/>
      <c r="J36" s="179"/>
      <c r="K36" s="179"/>
      <c r="L36" s="179"/>
      <c r="M36" s="179"/>
      <c r="N36" s="179"/>
      <c r="O36" s="179"/>
      <c r="P36" s="179"/>
      <c r="Q36" s="179"/>
      <c r="R36" s="179"/>
      <c r="S36" s="179"/>
      <c r="T36" s="179"/>
      <c r="U36" s="179"/>
      <c r="V36" s="179"/>
      <c r="W36" s="179"/>
      <c r="X36" s="179"/>
      <c r="Y36" s="179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</row>
    <row r="37" spans="1:46" s="20" customFormat="1" ht="6.6" hidden="1" customHeight="1">
      <c r="A37" s="179"/>
      <c r="B37" s="179"/>
      <c r="C37" s="179"/>
      <c r="D37" s="183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179"/>
      <c r="X37" s="179"/>
      <c r="Y37" s="179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</row>
    <row r="38" spans="1:46" s="20" customFormat="1" ht="32.4" hidden="1" customHeight="1">
      <c r="A38" s="179"/>
      <c r="B38" s="179"/>
      <c r="C38" s="179"/>
      <c r="D38" s="183"/>
      <c r="E38" s="179"/>
      <c r="F38" s="179"/>
      <c r="G38" s="179"/>
      <c r="H38" s="179"/>
      <c r="I38" s="179"/>
      <c r="J38" s="179"/>
      <c r="K38" s="179"/>
      <c r="L38" s="179"/>
      <c r="M38" s="179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79"/>
      <c r="Y38" s="179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</row>
    <row r="39" spans="1:46" s="20" customFormat="1" hidden="1">
      <c r="A39" s="179"/>
      <c r="B39" s="179"/>
      <c r="C39" s="179"/>
      <c r="D39" s="179"/>
      <c r="E39" s="179"/>
      <c r="F39" s="179"/>
      <c r="G39" s="179"/>
      <c r="H39" s="179"/>
      <c r="I39" s="179"/>
      <c r="J39" s="179"/>
      <c r="K39" s="179"/>
      <c r="L39" s="179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79"/>
      <c r="X39" s="179"/>
      <c r="Y39" s="17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</row>
    <row r="40" spans="1:46" s="20" customFormat="1" hidden="1">
      <c r="A40" s="179"/>
      <c r="B40" s="179"/>
      <c r="C40" s="179"/>
      <c r="D40" s="179"/>
      <c r="E40" s="179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</row>
    <row r="41" spans="1:46" s="20" customFormat="1" hidden="1">
      <c r="A41" s="179"/>
      <c r="B41" s="179"/>
      <c r="C41" s="179"/>
      <c r="D41" s="179"/>
      <c r="E41" s="179"/>
      <c r="F41" s="179"/>
      <c r="G41" s="179"/>
      <c r="H41" s="179"/>
      <c r="I41" s="179"/>
      <c r="J41" s="179"/>
      <c r="K41" s="179"/>
      <c r="L41" s="179"/>
      <c r="M41" s="179"/>
      <c r="N41" s="179"/>
      <c r="O41" s="179"/>
      <c r="P41" s="179"/>
      <c r="Q41" s="179"/>
      <c r="R41" s="179"/>
      <c r="S41" s="179"/>
      <c r="T41" s="179"/>
      <c r="U41" s="179"/>
      <c r="V41" s="179"/>
      <c r="W41" s="179"/>
      <c r="X41" s="179"/>
      <c r="Y41" s="179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</row>
    <row r="42" spans="1:46" s="20" customFormat="1" hidden="1">
      <c r="A42" s="179"/>
      <c r="B42" s="179"/>
      <c r="C42" s="179"/>
      <c r="D42" s="179"/>
      <c r="E42" s="179"/>
      <c r="F42" s="179"/>
      <c r="G42" s="179"/>
      <c r="H42" s="179"/>
      <c r="I42" s="179"/>
      <c r="J42" s="179"/>
      <c r="K42" s="179"/>
      <c r="L42" s="179"/>
      <c r="M42" s="179"/>
      <c r="N42" s="179"/>
      <c r="O42" s="179"/>
      <c r="P42" s="179"/>
      <c r="Q42" s="179"/>
      <c r="R42" s="179"/>
      <c r="S42" s="179"/>
      <c r="T42" s="179"/>
      <c r="U42" s="179"/>
      <c r="V42" s="179"/>
      <c r="W42" s="179"/>
      <c r="X42" s="179"/>
      <c r="Y42" s="179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</row>
    <row r="43" spans="1:46" s="20" customFormat="1" hidden="1">
      <c r="A43" s="179"/>
      <c r="B43" s="179"/>
      <c r="C43" s="179"/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9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</row>
    <row r="44" spans="1:46" s="20" customFormat="1" hidden="1">
      <c r="A44" s="179"/>
      <c r="B44" s="179"/>
      <c r="C44" s="179"/>
      <c r="D44" s="179"/>
      <c r="E44" s="179"/>
      <c r="F44" s="179"/>
      <c r="G44" s="179"/>
      <c r="H44" s="179"/>
      <c r="I44" s="179"/>
      <c r="J44" s="179"/>
      <c r="K44" s="179"/>
      <c r="L44" s="179"/>
      <c r="M44" s="179"/>
      <c r="N44" s="179"/>
      <c r="O44" s="179"/>
      <c r="P44" s="179"/>
      <c r="Q44" s="179"/>
      <c r="R44" s="179"/>
      <c r="S44" s="179"/>
      <c r="T44" s="179"/>
      <c r="U44" s="179"/>
      <c r="V44" s="179"/>
      <c r="W44" s="179"/>
      <c r="X44" s="179"/>
      <c r="Y44" s="179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</row>
    <row r="45" spans="1:46" s="20" customFormat="1" hidden="1">
      <c r="A45" s="179"/>
      <c r="B45" s="179"/>
      <c r="C45" s="179"/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79"/>
      <c r="X45" s="179"/>
      <c r="Y45" s="179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</row>
    <row r="46" spans="1:46" s="20" customFormat="1" hidden="1">
      <c r="A46" s="179"/>
      <c r="B46" s="179"/>
      <c r="C46" s="179"/>
      <c r="D46" s="179"/>
      <c r="E46" s="179"/>
      <c r="F46" s="179"/>
      <c r="G46" s="179"/>
      <c r="H46" s="179"/>
      <c r="I46" s="179"/>
      <c r="J46" s="179"/>
      <c r="K46" s="179"/>
      <c r="L46" s="179"/>
      <c r="M46" s="179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179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</row>
    <row r="47" spans="1:46" s="20" customFormat="1" hidden="1"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</row>
    <row r="48" spans="1:46" s="20" customFormat="1" hidden="1"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</row>
    <row r="49" spans="4:46" s="20" customFormat="1" hidden="1"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</row>
    <row r="50" spans="4:46" s="20" customFormat="1" hidden="1"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</row>
    <row r="51" spans="4:46" s="20" customFormat="1" hidden="1"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</row>
    <row r="52" spans="4:46" s="20" customFormat="1" hidden="1"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</row>
    <row r="53" spans="4:46" hidden="1">
      <c r="D53" s="20"/>
      <c r="E53" s="20"/>
      <c r="F53" s="20"/>
      <c r="G53" s="20"/>
    </row>
    <row r="54" spans="4:46" hidden="1">
      <c r="D54" s="20"/>
      <c r="E54" s="20"/>
      <c r="F54" s="20"/>
      <c r="G54" s="20"/>
    </row>
    <row r="55" spans="4:46" hidden="1">
      <c r="D55" s="20"/>
      <c r="E55" s="20"/>
      <c r="F55" s="20"/>
      <c r="G55" s="20"/>
    </row>
    <row r="56" spans="4:46" hidden="1">
      <c r="D56" s="20"/>
      <c r="E56" s="20"/>
      <c r="F56" s="20"/>
      <c r="G56" s="20"/>
    </row>
    <row r="57" spans="4:46" hidden="1">
      <c r="D57" s="20"/>
      <c r="E57" s="20"/>
      <c r="F57" s="20"/>
      <c r="G57" s="20"/>
    </row>
    <row r="58" spans="4:46" hidden="1">
      <c r="D58" s="20"/>
      <c r="E58" s="20"/>
      <c r="F58" s="20"/>
      <c r="G58" s="20"/>
    </row>
    <row r="59" spans="4:46" hidden="1">
      <c r="D59" s="20"/>
      <c r="E59" s="20"/>
      <c r="F59" s="20"/>
      <c r="G59" s="20"/>
    </row>
    <row r="60" spans="4:46" hidden="1">
      <c r="D60" s="20"/>
      <c r="E60" s="20"/>
      <c r="F60" s="20"/>
      <c r="G60" s="20"/>
    </row>
    <row r="61" spans="4:46" hidden="1">
      <c r="D61" s="20"/>
      <c r="E61" s="20"/>
      <c r="F61" s="20"/>
      <c r="G61" s="20"/>
    </row>
    <row r="62" spans="4:46" hidden="1">
      <c r="D62" s="20"/>
      <c r="E62" s="20"/>
      <c r="F62" s="20"/>
      <c r="G62" s="20"/>
    </row>
    <row r="63" spans="4:46" hidden="1">
      <c r="D63" s="20"/>
      <c r="E63" s="20"/>
      <c r="F63" s="20"/>
      <c r="G63" s="20"/>
    </row>
    <row r="64" spans="4:46" hidden="1">
      <c r="D64" s="20"/>
      <c r="E64" s="20"/>
      <c r="F64" s="20"/>
      <c r="G64" s="20"/>
    </row>
    <row r="65" spans="4:7" hidden="1">
      <c r="D65" s="20"/>
      <c r="E65" s="20"/>
      <c r="F65" s="20"/>
      <c r="G65" s="20"/>
    </row>
    <row r="66" spans="4:7" hidden="1">
      <c r="D66" s="20"/>
      <c r="E66" s="20"/>
      <c r="F66" s="20"/>
      <c r="G66" s="20"/>
    </row>
    <row r="67" spans="4:7" hidden="1">
      <c r="D67" s="20"/>
      <c r="E67" s="20"/>
      <c r="F67" s="20"/>
      <c r="G67" s="20"/>
    </row>
    <row r="68" spans="4:7" hidden="1">
      <c r="D68" s="20"/>
      <c r="E68" s="20"/>
      <c r="F68" s="20"/>
      <c r="G68" s="20"/>
    </row>
    <row r="69" spans="4:7" hidden="1">
      <c r="D69" s="20"/>
      <c r="E69" s="20"/>
      <c r="F69" s="20"/>
      <c r="G69" s="20"/>
    </row>
    <row r="70" spans="4:7" hidden="1">
      <c r="D70" s="20"/>
      <c r="E70" s="20"/>
      <c r="F70" s="20"/>
      <c r="G70" s="20"/>
    </row>
    <row r="71" spans="4:7" hidden="1">
      <c r="D71" s="20"/>
      <c r="E71" s="20"/>
      <c r="F71" s="20"/>
      <c r="G71" s="20"/>
    </row>
    <row r="72" spans="4:7" hidden="1">
      <c r="D72" s="20"/>
      <c r="E72" s="20"/>
      <c r="F72" s="20"/>
      <c r="G72" s="20"/>
    </row>
    <row r="73" spans="4:7" hidden="1">
      <c r="D73" s="20"/>
      <c r="E73" s="20"/>
      <c r="F73" s="20"/>
      <c r="G73" s="20"/>
    </row>
    <row r="74" spans="4:7" hidden="1">
      <c r="D74" s="20"/>
      <c r="E74" s="20"/>
      <c r="F74" s="20"/>
      <c r="G74" s="20"/>
    </row>
    <row r="75" spans="4:7" hidden="1">
      <c r="D75" s="20"/>
      <c r="E75" s="20"/>
      <c r="F75" s="20"/>
      <c r="G75" s="20"/>
    </row>
    <row r="76" spans="4:7" hidden="1">
      <c r="D76" s="20"/>
      <c r="E76" s="20"/>
      <c r="F76" s="20"/>
      <c r="G76" s="20"/>
    </row>
    <row r="77" spans="4:7" hidden="1">
      <c r="D77" s="20"/>
      <c r="E77" s="20"/>
      <c r="F77" s="20"/>
      <c r="G77" s="20"/>
    </row>
    <row r="78" spans="4:7" hidden="1">
      <c r="D78" s="20"/>
      <c r="E78" s="20"/>
      <c r="F78" s="20"/>
      <c r="G78" s="20"/>
    </row>
    <row r="79" spans="4:7" hidden="1">
      <c r="D79" s="20"/>
      <c r="E79" s="20"/>
      <c r="F79" s="20"/>
      <c r="G79" s="20"/>
    </row>
    <row r="80" spans="4:7" hidden="1">
      <c r="D80" s="20"/>
      <c r="E80" s="20"/>
      <c r="F80" s="20"/>
      <c r="G80" s="20"/>
    </row>
    <row r="81" spans="4:7" hidden="1">
      <c r="D81" s="20"/>
      <c r="E81" s="20"/>
      <c r="F81" s="20"/>
      <c r="G81" s="20"/>
    </row>
    <row r="82" spans="4:7" hidden="1">
      <c r="D82" s="20"/>
      <c r="E82" s="20"/>
      <c r="F82" s="20"/>
      <c r="G82" s="20"/>
    </row>
  </sheetData>
  <sheetProtection selectLockedCells="1"/>
  <mergeCells count="20">
    <mergeCell ref="R6:R7"/>
    <mergeCell ref="S6:S7"/>
    <mergeCell ref="T6:U8"/>
    <mergeCell ref="S8:S9"/>
    <mergeCell ref="M6:M7"/>
    <mergeCell ref="N6:N7"/>
    <mergeCell ref="O6:P8"/>
    <mergeCell ref="N8:N9"/>
    <mergeCell ref="H6:I8"/>
    <mergeCell ref="F8:F9"/>
    <mergeCell ref="G8:G9"/>
    <mergeCell ref="F6:G7"/>
    <mergeCell ref="D6:E7"/>
    <mergeCell ref="H18:I20"/>
    <mergeCell ref="F20:F21"/>
    <mergeCell ref="G20:G21"/>
    <mergeCell ref="B10:B16"/>
    <mergeCell ref="B22:B29"/>
    <mergeCell ref="D18:E19"/>
    <mergeCell ref="F18:G19"/>
  </mergeCells>
  <pageMargins left="0.25" right="0.25" top="0.75" bottom="0.75" header="0.3" footer="0.3"/>
  <pageSetup paperSize="9" scale="86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sHogst">
    <pageSetUpPr fitToPage="1"/>
  </sheetPr>
  <dimension ref="B1:AY84"/>
  <sheetViews>
    <sheetView workbookViewId="0"/>
  </sheetViews>
  <sheetFormatPr baseColWidth="10" defaultColWidth="11.3984375" defaultRowHeight="13.8"/>
  <cols>
    <col min="1" max="1" width="1.3984375" customWidth="1"/>
    <col min="2" max="2" width="6.8984375" customWidth="1"/>
    <col min="3" max="3" width="30.09765625" customWidth="1"/>
    <col min="4" max="4" width="7.59765625" customWidth="1"/>
    <col min="7" max="7" width="2.09765625" customWidth="1"/>
    <col min="8" max="8" width="1.8984375" style="2" customWidth="1"/>
    <col min="9" max="9" width="6.8984375" customWidth="1"/>
    <col min="10" max="10" width="27" customWidth="1"/>
    <col min="11" max="11" width="8.59765625" customWidth="1"/>
    <col min="14" max="14" width="2.09765625" customWidth="1"/>
    <col min="15" max="15" width="6.8984375" customWidth="1"/>
    <col min="16" max="16" width="27" customWidth="1"/>
    <col min="17" max="17" width="8.59765625" customWidth="1"/>
    <col min="20" max="20" width="2.09765625" customWidth="1"/>
    <col min="21" max="21" width="6.8984375" customWidth="1"/>
    <col min="22" max="22" width="27" customWidth="1"/>
    <col min="23" max="23" width="8.59765625" customWidth="1"/>
    <col min="26" max="26" width="2.09765625" customWidth="1"/>
    <col min="27" max="27" width="2" style="2" customWidth="1"/>
    <col min="28" max="28" width="6.8984375" customWidth="1"/>
    <col min="29" max="29" width="23.59765625" customWidth="1"/>
    <col min="30" max="30" width="7.59765625" customWidth="1"/>
    <col min="33" max="33" width="2.09765625" customWidth="1"/>
    <col min="34" max="51" width="11.3984375" style="20"/>
  </cols>
  <sheetData>
    <row r="1" spans="2:51" s="177" customFormat="1" ht="12" customHeight="1"/>
    <row r="2" spans="2:51" s="177" customFormat="1" ht="12" customHeight="1"/>
    <row r="3" spans="2:51" s="177" customFormat="1" ht="12" customHeight="1"/>
    <row r="4" spans="2:51" s="20" customFormat="1" ht="42" customHeight="1">
      <c r="B4" s="186" t="s">
        <v>207</v>
      </c>
      <c r="AY4"/>
    </row>
    <row r="5" spans="2:51" s="20" customFormat="1" ht="27.9" customHeight="1" thickBot="1"/>
    <row r="6" spans="2:51" s="32" customFormat="1" ht="30.75" customHeight="1">
      <c r="B6" s="19" t="s">
        <v>5</v>
      </c>
      <c r="C6" s="30" t="s">
        <v>95</v>
      </c>
      <c r="D6" s="27"/>
      <c r="E6" s="27"/>
      <c r="F6" s="27"/>
      <c r="G6" s="29"/>
      <c r="H6" s="31"/>
      <c r="I6" s="38" t="s">
        <v>414</v>
      </c>
      <c r="J6" s="30" t="s">
        <v>415</v>
      </c>
      <c r="K6" s="27"/>
      <c r="L6" s="27"/>
      <c r="M6" s="27"/>
      <c r="N6" s="29"/>
      <c r="O6" s="38" t="s">
        <v>416</v>
      </c>
      <c r="P6" s="30" t="s">
        <v>417</v>
      </c>
      <c r="Q6" s="27"/>
      <c r="R6" s="27"/>
      <c r="S6" s="27"/>
      <c r="T6" s="29"/>
      <c r="U6" s="38" t="s">
        <v>421</v>
      </c>
      <c r="V6" s="30" t="s">
        <v>418</v>
      </c>
      <c r="W6" s="27"/>
      <c r="X6" s="27"/>
      <c r="Y6" s="27"/>
      <c r="Z6" s="29"/>
      <c r="AA6" s="31"/>
      <c r="AB6" s="28" t="s">
        <v>43</v>
      </c>
      <c r="AC6" s="30" t="s">
        <v>42</v>
      </c>
      <c r="AD6" s="8"/>
      <c r="AE6" s="6"/>
      <c r="AF6" s="6"/>
      <c r="AG6" s="7"/>
      <c r="AH6" s="72"/>
      <c r="AI6" s="72"/>
      <c r="AJ6" s="72"/>
      <c r="AK6" s="72"/>
      <c r="AL6" s="72"/>
      <c r="AM6" s="72"/>
      <c r="AN6" s="72"/>
      <c r="AO6" s="72"/>
      <c r="AP6" s="72"/>
      <c r="AQ6" s="72"/>
      <c r="AR6" s="72"/>
      <c r="AS6" s="72"/>
      <c r="AT6" s="72"/>
      <c r="AU6" s="72"/>
      <c r="AV6" s="72"/>
      <c r="AW6" s="72"/>
      <c r="AX6" s="72"/>
      <c r="AY6" s="72"/>
    </row>
    <row r="7" spans="2:51" ht="15.75" customHeight="1">
      <c r="B7" s="21"/>
      <c r="C7" s="9"/>
      <c r="D7" s="22"/>
      <c r="E7" s="9"/>
      <c r="F7" s="82" t="s">
        <v>99</v>
      </c>
      <c r="G7" s="10"/>
      <c r="I7" s="21"/>
      <c r="J7" s="9" t="s">
        <v>419</v>
      </c>
      <c r="K7" s="22"/>
      <c r="L7" s="9"/>
      <c r="M7" s="82" t="s">
        <v>99</v>
      </c>
      <c r="N7" s="10"/>
      <c r="O7" s="21"/>
      <c r="P7" s="9" t="s">
        <v>422</v>
      </c>
      <c r="Q7" s="22"/>
      <c r="R7" s="9"/>
      <c r="S7" s="82" t="s">
        <v>99</v>
      </c>
      <c r="T7" s="10"/>
      <c r="U7" s="21"/>
      <c r="V7" s="9" t="s">
        <v>420</v>
      </c>
      <c r="W7" s="22"/>
      <c r="X7" s="9"/>
      <c r="Y7" s="82" t="s">
        <v>99</v>
      </c>
      <c r="Z7" s="10"/>
      <c r="AB7" s="58"/>
      <c r="AC7" s="70" t="s">
        <v>44</v>
      </c>
      <c r="AD7" s="9"/>
      <c r="AE7" s="81"/>
      <c r="AF7" s="82" t="s">
        <v>99</v>
      </c>
      <c r="AG7" s="10"/>
    </row>
    <row r="8" spans="2:51" ht="15.75" customHeight="1">
      <c r="B8" s="21"/>
      <c r="C8" s="41"/>
      <c r="D8" s="22"/>
      <c r="E8" s="9"/>
      <c r="F8" s="9"/>
      <c r="G8" s="10"/>
      <c r="I8" s="21"/>
      <c r="J8" s="9"/>
      <c r="K8" s="22"/>
      <c r="L8" s="9"/>
      <c r="M8" s="9"/>
      <c r="N8" s="10"/>
      <c r="O8" s="21"/>
      <c r="P8" s="9"/>
      <c r="Q8" s="22"/>
      <c r="R8" s="9"/>
      <c r="S8" s="9"/>
      <c r="T8" s="10"/>
      <c r="U8" s="21"/>
      <c r="V8" s="9"/>
      <c r="W8" s="22"/>
      <c r="X8" s="9"/>
      <c r="Y8" s="9"/>
      <c r="Z8" s="10"/>
      <c r="AB8" s="65"/>
      <c r="AC8" s="13"/>
      <c r="AD8" s="13"/>
      <c r="AE8" s="9"/>
      <c r="AF8" s="9"/>
      <c r="AG8" s="63"/>
    </row>
    <row r="9" spans="2:51" ht="15.75" customHeight="1">
      <c r="B9" s="21"/>
      <c r="C9" s="41"/>
      <c r="D9" s="22"/>
      <c r="E9" s="9"/>
      <c r="F9" s="9"/>
      <c r="G9" s="10"/>
      <c r="I9" s="23"/>
      <c r="J9" s="14" t="s">
        <v>26</v>
      </c>
      <c r="K9" s="4">
        <v>21.3</v>
      </c>
      <c r="L9" s="15"/>
      <c r="M9" s="15"/>
      <c r="N9" s="5"/>
      <c r="O9" s="23"/>
      <c r="P9" s="14" t="s">
        <v>26</v>
      </c>
      <c r="Q9" s="4">
        <v>30.3</v>
      </c>
      <c r="R9" s="15"/>
      <c r="S9" s="15"/>
      <c r="T9" s="5"/>
      <c r="U9" s="23"/>
      <c r="V9" s="14" t="s">
        <v>26</v>
      </c>
      <c r="W9" s="4">
        <v>24</v>
      </c>
      <c r="X9" s="15"/>
      <c r="Y9" s="15"/>
      <c r="Z9" s="5"/>
      <c r="AB9" s="23"/>
      <c r="AC9" s="14"/>
      <c r="AD9" s="15"/>
      <c r="AE9" s="4"/>
      <c r="AF9" s="15"/>
      <c r="AG9" s="5"/>
    </row>
    <row r="10" spans="2:51" ht="15.75" customHeight="1">
      <c r="B10" s="21"/>
      <c r="C10" s="41" t="s">
        <v>28</v>
      </c>
      <c r="D10" s="22"/>
      <c r="E10" s="9"/>
      <c r="F10" s="9"/>
      <c r="G10" s="10"/>
      <c r="I10" s="23"/>
      <c r="J10" s="14" t="s">
        <v>27</v>
      </c>
      <c r="K10" s="4">
        <v>157.9</v>
      </c>
      <c r="L10" s="15"/>
      <c r="M10" s="4"/>
      <c r="N10" s="5"/>
      <c r="O10" s="23"/>
      <c r="P10" s="14" t="s">
        <v>27</v>
      </c>
      <c r="Q10" s="4">
        <v>81.2</v>
      </c>
      <c r="R10" s="15"/>
      <c r="S10" s="4"/>
      <c r="T10" s="5"/>
      <c r="U10" s="23"/>
      <c r="V10" s="14" t="s">
        <v>27</v>
      </c>
      <c r="W10" s="4">
        <v>35</v>
      </c>
      <c r="X10" s="15"/>
      <c r="Y10" s="4"/>
      <c r="Z10" s="5"/>
      <c r="AB10" s="66"/>
      <c r="AC10" s="14" t="s">
        <v>26</v>
      </c>
      <c r="AD10" s="4">
        <v>10.6</v>
      </c>
      <c r="AE10" s="15"/>
      <c r="AF10" s="4"/>
      <c r="AG10" s="5"/>
    </row>
    <row r="11" spans="2:51" ht="15.6" customHeight="1">
      <c r="B11" s="21"/>
      <c r="C11" s="41"/>
      <c r="D11" s="22"/>
      <c r="E11" s="9"/>
      <c r="F11" s="9"/>
      <c r="G11" s="10"/>
      <c r="I11" s="23" t="s">
        <v>47</v>
      </c>
      <c r="J11" s="4" t="s">
        <v>29</v>
      </c>
      <c r="K11" s="4">
        <f>D26/D22</f>
        <v>0.2</v>
      </c>
      <c r="L11" s="4" t="s">
        <v>16</v>
      </c>
      <c r="M11" s="4"/>
      <c r="N11" s="5"/>
      <c r="O11" s="23" t="s">
        <v>47</v>
      </c>
      <c r="P11" s="4" t="s">
        <v>29</v>
      </c>
      <c r="Q11" s="4">
        <f>K11</f>
        <v>0.2</v>
      </c>
      <c r="R11" s="4" t="s">
        <v>16</v>
      </c>
      <c r="S11" s="4"/>
      <c r="T11" s="5"/>
      <c r="U11" s="23" t="s">
        <v>47</v>
      </c>
      <c r="V11" s="4" t="s">
        <v>29</v>
      </c>
      <c r="W11" s="4">
        <f>K11</f>
        <v>0.2</v>
      </c>
      <c r="X11" s="4" t="s">
        <v>16</v>
      </c>
      <c r="Y11" s="4"/>
      <c r="Z11" s="5"/>
      <c r="AB11" s="66"/>
      <c r="AC11" s="14"/>
      <c r="AD11" s="4"/>
      <c r="AE11" s="15"/>
      <c r="AF11" s="4"/>
      <c r="AG11" s="5"/>
    </row>
    <row r="12" spans="2:51" ht="15.75" customHeight="1" thickBot="1">
      <c r="B12" s="21"/>
      <c r="C12" s="41"/>
      <c r="D12" s="22"/>
      <c r="E12" s="9"/>
      <c r="F12" s="9"/>
      <c r="G12" s="10"/>
      <c r="I12" s="24"/>
      <c r="J12" s="4"/>
      <c r="K12" s="4"/>
      <c r="L12" s="4"/>
      <c r="M12" s="4"/>
      <c r="N12" s="5"/>
      <c r="O12" s="24"/>
      <c r="P12" s="4"/>
      <c r="Q12" s="4"/>
      <c r="R12" s="4"/>
      <c r="S12" s="4"/>
      <c r="T12" s="5"/>
      <c r="U12" s="24"/>
      <c r="V12" s="4"/>
      <c r="W12" s="4"/>
      <c r="X12" s="4"/>
      <c r="Y12" s="4"/>
      <c r="Z12" s="5"/>
      <c r="AB12" s="67"/>
      <c r="AC12" s="47"/>
      <c r="AD12" s="484"/>
      <c r="AE12" s="485"/>
      <c r="AF12" s="485"/>
      <c r="AG12" s="5"/>
    </row>
    <row r="13" spans="2:51" ht="15.75" customHeight="1" thickBot="1">
      <c r="B13" s="21"/>
      <c r="C13" s="41"/>
      <c r="D13" s="22"/>
      <c r="E13" s="9"/>
      <c r="F13" s="9"/>
      <c r="G13" s="10"/>
      <c r="I13" s="24"/>
      <c r="J13" s="4" t="s">
        <v>411</v>
      </c>
      <c r="K13" s="4">
        <v>28</v>
      </c>
      <c r="L13" s="486">
        <v>0</v>
      </c>
      <c r="M13" s="4"/>
      <c r="N13" s="5"/>
      <c r="O13" s="24"/>
      <c r="P13" s="4" t="s">
        <v>411</v>
      </c>
      <c r="Q13" s="4">
        <v>28</v>
      </c>
      <c r="R13" s="486">
        <v>0</v>
      </c>
      <c r="S13" s="4"/>
      <c r="T13" s="5"/>
      <c r="U13" s="24"/>
      <c r="V13" s="4" t="s">
        <v>411</v>
      </c>
      <c r="W13" s="4">
        <v>28</v>
      </c>
      <c r="X13" s="486">
        <v>0</v>
      </c>
      <c r="Y13" s="4"/>
      <c r="Z13" s="5"/>
      <c r="AB13" s="67"/>
      <c r="AC13" s="47"/>
      <c r="AD13" s="484"/>
      <c r="AE13" s="485"/>
      <c r="AF13" s="485"/>
      <c r="AG13" s="5"/>
    </row>
    <row r="14" spans="2:51" ht="15.75" customHeight="1" thickBot="1">
      <c r="B14" s="21"/>
      <c r="C14" s="41"/>
      <c r="D14" s="22"/>
      <c r="E14" s="9"/>
      <c r="F14" s="9"/>
      <c r="G14" s="10"/>
      <c r="I14" s="24"/>
      <c r="J14" s="4" t="s">
        <v>413</v>
      </c>
      <c r="K14" s="4">
        <v>15</v>
      </c>
      <c r="L14" s="486">
        <v>0</v>
      </c>
      <c r="M14" s="4"/>
      <c r="N14" s="5"/>
      <c r="O14" s="24"/>
      <c r="P14" s="4" t="s">
        <v>413</v>
      </c>
      <c r="Q14" s="4">
        <v>15</v>
      </c>
      <c r="R14" s="486">
        <v>0</v>
      </c>
      <c r="S14" s="4"/>
      <c r="T14" s="5"/>
      <c r="U14" s="24"/>
      <c r="V14" s="4" t="s">
        <v>413</v>
      </c>
      <c r="W14" s="4">
        <v>15</v>
      </c>
      <c r="X14" s="486">
        <v>0</v>
      </c>
      <c r="Y14" s="4"/>
      <c r="Z14" s="5"/>
      <c r="AB14" s="67"/>
      <c r="AC14" s="47"/>
      <c r="AD14" s="484"/>
      <c r="AE14" s="485"/>
      <c r="AF14" s="485"/>
      <c r="AG14" s="5"/>
    </row>
    <row r="15" spans="2:51" ht="15.75" customHeight="1" thickBot="1">
      <c r="B15" s="21"/>
      <c r="C15" s="41"/>
      <c r="D15" s="22"/>
      <c r="E15" s="9"/>
      <c r="F15" s="9"/>
      <c r="G15" s="10"/>
      <c r="I15" s="24"/>
      <c r="J15" s="4" t="s">
        <v>412</v>
      </c>
      <c r="K15" s="4">
        <v>37</v>
      </c>
      <c r="L15" s="486">
        <v>0</v>
      </c>
      <c r="M15" s="4"/>
      <c r="N15" s="5"/>
      <c r="O15" s="24"/>
      <c r="P15" s="4" t="s">
        <v>412</v>
      </c>
      <c r="Q15" s="4">
        <v>37</v>
      </c>
      <c r="R15" s="486">
        <v>0</v>
      </c>
      <c r="S15" s="4"/>
      <c r="T15" s="5"/>
      <c r="U15" s="24"/>
      <c r="V15" s="4" t="s">
        <v>412</v>
      </c>
      <c r="W15" s="4">
        <v>37</v>
      </c>
      <c r="X15" s="486">
        <v>0</v>
      </c>
      <c r="Y15" s="4"/>
      <c r="Z15" s="5"/>
      <c r="AB15" s="67"/>
      <c r="AC15" s="47"/>
      <c r="AD15" s="484"/>
      <c r="AE15" s="485"/>
      <c r="AF15" s="485"/>
      <c r="AG15" s="5"/>
    </row>
    <row r="16" spans="2:51" ht="15.75" customHeight="1">
      <c r="B16" s="21"/>
      <c r="C16" s="41"/>
      <c r="D16" s="22"/>
      <c r="E16" s="9"/>
      <c r="F16" s="9"/>
      <c r="G16" s="10"/>
      <c r="I16" s="24"/>
      <c r="J16" s="4"/>
      <c r="K16" s="4"/>
      <c r="L16" s="4"/>
      <c r="M16" s="4"/>
      <c r="N16" s="5"/>
      <c r="O16" s="24"/>
      <c r="P16" s="4"/>
      <c r="Q16" s="4"/>
      <c r="R16" s="4"/>
      <c r="S16" s="4"/>
      <c r="T16" s="5"/>
      <c r="U16" s="24"/>
      <c r="V16" s="4"/>
      <c r="W16" s="4"/>
      <c r="X16" s="4"/>
      <c r="Y16" s="4"/>
      <c r="Z16" s="5"/>
      <c r="AB16" s="67"/>
      <c r="AC16" s="47"/>
      <c r="AD16" s="484"/>
      <c r="AE16" s="485"/>
      <c r="AF16" s="485"/>
      <c r="AG16" s="5"/>
    </row>
    <row r="17" spans="2:51" ht="15.75" customHeight="1" thickBot="1">
      <c r="B17" s="21"/>
      <c r="C17" s="41"/>
      <c r="D17" s="22"/>
      <c r="E17" s="9"/>
      <c r="F17" s="9"/>
      <c r="G17" s="10"/>
      <c r="I17" s="24"/>
      <c r="J17" s="4" t="s">
        <v>25</v>
      </c>
      <c r="K17" s="16">
        <f>(K9+(K10*K11)+(K13*L13)+(K14*L14)+(K15*L15))/100</f>
        <v>0.52880000000000005</v>
      </c>
      <c r="L17" s="4" t="s">
        <v>6</v>
      </c>
      <c r="M17" s="4"/>
      <c r="N17" s="5"/>
      <c r="O17" s="24"/>
      <c r="P17" s="4" t="s">
        <v>25</v>
      </c>
      <c r="Q17" s="16">
        <f>(Q9+(Q10*Q11)+(Q13*R13)+(Q14*R14)+(Q15*R15))/100</f>
        <v>0.46540000000000004</v>
      </c>
      <c r="R17" s="4" t="s">
        <v>6</v>
      </c>
      <c r="S17" s="4"/>
      <c r="T17" s="5"/>
      <c r="U17" s="24"/>
      <c r="V17" s="4" t="s">
        <v>25</v>
      </c>
      <c r="W17" s="16">
        <f>(W9+(W10*W11)+(W13*X13)+(W14*X14)+(W15*X15))/100</f>
        <v>0.31</v>
      </c>
      <c r="X17" s="4" t="s">
        <v>6</v>
      </c>
      <c r="Y17" s="4"/>
      <c r="Z17" s="5"/>
      <c r="AB17" s="69"/>
      <c r="AC17" s="46"/>
      <c r="AD17" s="46"/>
      <c r="AE17" s="46"/>
      <c r="AF17" s="46"/>
      <c r="AG17" s="42"/>
    </row>
    <row r="18" spans="2:51" ht="21.75" customHeight="1" thickBot="1">
      <c r="B18" s="21"/>
      <c r="C18" s="9"/>
      <c r="D18" s="9"/>
      <c r="E18" s="9"/>
      <c r="F18" s="9"/>
      <c r="G18" s="10"/>
      <c r="H18" s="26"/>
      <c r="I18" s="39"/>
      <c r="J18" s="47" t="s">
        <v>25</v>
      </c>
      <c r="K18" s="68">
        <f>K17*100*0.6</f>
        <v>31.728000000000002</v>
      </c>
      <c r="L18" s="51" t="s">
        <v>35</v>
      </c>
      <c r="M18" s="52"/>
      <c r="N18" s="5"/>
      <c r="O18" s="39"/>
      <c r="P18" s="47" t="s">
        <v>25</v>
      </c>
      <c r="Q18" s="68">
        <f>Q17*100*0.6</f>
        <v>27.924000000000003</v>
      </c>
      <c r="R18" s="51" t="s">
        <v>35</v>
      </c>
      <c r="S18" s="52"/>
      <c r="T18" s="5"/>
      <c r="U18" s="39"/>
      <c r="V18" s="47" t="s">
        <v>25</v>
      </c>
      <c r="W18" s="68">
        <f>W17*100*0.6</f>
        <v>18.599999999999998</v>
      </c>
      <c r="X18" s="51" t="s">
        <v>35</v>
      </c>
      <c r="Y18" s="52"/>
      <c r="Z18" s="5"/>
      <c r="AA18" s="26"/>
      <c r="AB18" s="58" t="s">
        <v>59</v>
      </c>
      <c r="AC18" s="59" t="s">
        <v>42</v>
      </c>
      <c r="AD18" s="22"/>
      <c r="AE18" s="9"/>
      <c r="AF18" s="9"/>
      <c r="AG18" s="10"/>
    </row>
    <row r="19" spans="2:51" ht="15.75" customHeight="1" thickBot="1">
      <c r="B19" s="43"/>
      <c r="C19" s="44"/>
      <c r="D19" s="25"/>
      <c r="E19" s="4"/>
      <c r="F19" s="4"/>
      <c r="G19" s="5"/>
      <c r="I19" s="48"/>
      <c r="J19" s="49"/>
      <c r="K19" s="49"/>
      <c r="L19" s="49"/>
      <c r="M19" s="49"/>
      <c r="N19" s="18"/>
      <c r="O19" s="48"/>
      <c r="P19" s="49"/>
      <c r="Q19" s="49"/>
      <c r="R19" s="49"/>
      <c r="S19" s="49"/>
      <c r="T19" s="18"/>
      <c r="U19" s="48"/>
      <c r="V19" s="49"/>
      <c r="W19" s="49"/>
      <c r="X19" s="49"/>
      <c r="Y19" s="49"/>
      <c r="Z19" s="18"/>
      <c r="AB19" s="58"/>
      <c r="AC19" s="70" t="s">
        <v>41</v>
      </c>
      <c r="AD19" s="9"/>
      <c r="AE19" s="9"/>
      <c r="AF19" s="82" t="s">
        <v>211</v>
      </c>
      <c r="AG19" s="10"/>
    </row>
    <row r="20" spans="2:51" ht="15.75" customHeight="1" thickBot="1">
      <c r="B20" s="66" t="s">
        <v>45</v>
      </c>
      <c r="C20" s="14" t="s">
        <v>14</v>
      </c>
      <c r="D20" s="188">
        <v>13.3</v>
      </c>
      <c r="E20" s="4" t="s">
        <v>58</v>
      </c>
      <c r="F20" s="4"/>
      <c r="G20" s="5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B20" s="65"/>
      <c r="AC20" s="13"/>
      <c r="AD20" s="13"/>
      <c r="AE20" s="9"/>
      <c r="AF20" s="9"/>
      <c r="AG20" s="63"/>
    </row>
    <row r="21" spans="2:51" ht="15.75" customHeight="1" thickBot="1">
      <c r="B21" s="66" t="s">
        <v>46</v>
      </c>
      <c r="C21" s="14" t="s">
        <v>7</v>
      </c>
      <c r="D21" s="188">
        <v>25.9</v>
      </c>
      <c r="E21" s="4" t="s">
        <v>55</v>
      </c>
      <c r="F21" s="4"/>
      <c r="G21" s="5"/>
      <c r="I21" s="551" t="s">
        <v>34</v>
      </c>
      <c r="J21" s="549" t="s">
        <v>30</v>
      </c>
      <c r="K21" s="8"/>
      <c r="L21" s="6"/>
      <c r="M21" s="6"/>
      <c r="N21" s="7"/>
      <c r="O21" s="551" t="s">
        <v>34</v>
      </c>
      <c r="P21" s="549" t="s">
        <v>30</v>
      </c>
      <c r="Q21" s="8"/>
      <c r="R21" s="6"/>
      <c r="S21" s="6"/>
      <c r="T21" s="7"/>
      <c r="U21" s="551" t="s">
        <v>34</v>
      </c>
      <c r="V21" s="549" t="s">
        <v>30</v>
      </c>
      <c r="W21" s="8"/>
      <c r="X21" s="6"/>
      <c r="Y21" s="6"/>
      <c r="Z21" s="7"/>
      <c r="AB21" s="24"/>
      <c r="AC21" s="4"/>
      <c r="AD21" s="4"/>
      <c r="AE21" s="4"/>
      <c r="AF21" s="4"/>
      <c r="AG21" s="5"/>
    </row>
    <row r="22" spans="2:51" ht="15.75" customHeight="1" thickBot="1">
      <c r="B22" s="66" t="s">
        <v>48</v>
      </c>
      <c r="C22" s="4" t="s">
        <v>8</v>
      </c>
      <c r="D22" s="188">
        <f>FORSIDE!G26</f>
        <v>65</v>
      </c>
      <c r="E22" s="4" t="s">
        <v>57</v>
      </c>
      <c r="F22" s="4"/>
      <c r="G22" s="5"/>
      <c r="I22" s="552"/>
      <c r="J22" s="550"/>
      <c r="K22" s="9"/>
      <c r="L22" s="9"/>
      <c r="M22" s="82" t="s">
        <v>99</v>
      </c>
      <c r="N22" s="10"/>
      <c r="O22" s="552"/>
      <c r="P22" s="550"/>
      <c r="Q22" s="9"/>
      <c r="R22" s="9"/>
      <c r="S22" s="82" t="s">
        <v>99</v>
      </c>
      <c r="T22" s="10"/>
      <c r="U22" s="552"/>
      <c r="V22" s="550"/>
      <c r="W22" s="9"/>
      <c r="X22" s="9"/>
      <c r="Y22" s="82" t="s">
        <v>99</v>
      </c>
      <c r="Z22" s="10"/>
      <c r="AB22" s="23"/>
      <c r="AC22" s="14" t="s">
        <v>212</v>
      </c>
      <c r="AD22" s="4">
        <v>1.8</v>
      </c>
      <c r="AE22" s="4"/>
      <c r="AF22" s="15"/>
      <c r="AG22" s="5"/>
    </row>
    <row r="23" spans="2:51" ht="15.75" customHeight="1" thickBot="1">
      <c r="B23" s="66" t="s">
        <v>49</v>
      </c>
      <c r="C23" s="4" t="s">
        <v>9</v>
      </c>
      <c r="D23" s="188">
        <f>FORSIDE!M22</f>
        <v>2</v>
      </c>
      <c r="E23" s="150" t="s">
        <v>56</v>
      </c>
      <c r="F23" s="150"/>
      <c r="G23" s="5"/>
      <c r="I23" s="45"/>
      <c r="J23" s="13"/>
      <c r="K23" s="13"/>
      <c r="L23" s="9"/>
      <c r="M23" s="9"/>
      <c r="N23" s="63"/>
      <c r="O23" s="45"/>
      <c r="P23" s="13"/>
      <c r="Q23" s="13"/>
      <c r="R23" s="9"/>
      <c r="S23" s="9"/>
      <c r="T23" s="63"/>
      <c r="U23" s="45"/>
      <c r="V23" s="13"/>
      <c r="W23" s="13"/>
      <c r="X23" s="9"/>
      <c r="Y23" s="9"/>
      <c r="Z23" s="63"/>
      <c r="AB23" s="66" t="s">
        <v>48</v>
      </c>
      <c r="AC23" s="4" t="s">
        <v>180</v>
      </c>
      <c r="AD23" s="4">
        <f>D22</f>
        <v>65</v>
      </c>
      <c r="AE23" s="4" t="s">
        <v>11</v>
      </c>
      <c r="AF23" s="15"/>
      <c r="AG23" s="5"/>
    </row>
    <row r="24" spans="2:51" ht="15.75" customHeight="1" thickBot="1">
      <c r="B24" s="66" t="s">
        <v>50</v>
      </c>
      <c r="C24" s="4" t="s">
        <v>10</v>
      </c>
      <c r="D24" s="188">
        <f>FORSIDE!M26</f>
        <v>2</v>
      </c>
      <c r="E24" s="15" t="s">
        <v>56</v>
      </c>
      <c r="F24" s="15"/>
      <c r="G24" s="5"/>
      <c r="I24" s="23"/>
      <c r="J24" s="14"/>
      <c r="K24" s="15"/>
      <c r="L24" s="4"/>
      <c r="M24" s="15"/>
      <c r="N24" s="5"/>
      <c r="O24" s="23"/>
      <c r="P24" s="14"/>
      <c r="Q24" s="15"/>
      <c r="R24" s="4"/>
      <c r="S24" s="15"/>
      <c r="T24" s="5"/>
      <c r="U24" s="23"/>
      <c r="V24" s="14"/>
      <c r="W24" s="15"/>
      <c r="X24" s="4"/>
      <c r="Y24" s="15"/>
      <c r="Z24" s="5"/>
      <c r="AB24" s="66" t="s">
        <v>52</v>
      </c>
      <c r="AC24" s="14" t="s">
        <v>179</v>
      </c>
      <c r="AD24" s="190">
        <f>FORSIDE!G28</f>
        <v>100</v>
      </c>
      <c r="AE24" s="4" t="s">
        <v>11</v>
      </c>
      <c r="AF24" s="4"/>
      <c r="AG24" s="5"/>
    </row>
    <row r="25" spans="2:51" ht="15.75" customHeight="1" thickBot="1">
      <c r="B25" s="66" t="s">
        <v>51</v>
      </c>
      <c r="C25" s="4" t="s">
        <v>13</v>
      </c>
      <c r="D25" s="4">
        <f>D21*(1+(5/D22)-(0.1*D23)-(0.1*D24))</f>
        <v>17.532307692307693</v>
      </c>
      <c r="E25" s="4" t="s">
        <v>55</v>
      </c>
      <c r="F25" s="4"/>
      <c r="G25" s="5"/>
      <c r="I25" s="23"/>
      <c r="J25" s="14"/>
      <c r="K25" s="4"/>
      <c r="L25" s="4"/>
      <c r="M25" s="15"/>
      <c r="N25" s="5"/>
      <c r="O25" s="23"/>
      <c r="P25" s="14"/>
      <c r="Q25" s="4"/>
      <c r="R25" s="4"/>
      <c r="S25" s="15"/>
      <c r="T25" s="5"/>
      <c r="U25" s="23"/>
      <c r="V25" s="14"/>
      <c r="W25" s="4"/>
      <c r="X25" s="4"/>
      <c r="Y25" s="15"/>
      <c r="Z25" s="5"/>
      <c r="AB25" s="24"/>
      <c r="AC25" s="4"/>
      <c r="AD25" s="4"/>
      <c r="AE25" s="4"/>
      <c r="AF25" s="4"/>
      <c r="AG25" s="5"/>
    </row>
    <row r="26" spans="2:51" ht="18.600000000000001" thickBot="1">
      <c r="B26" s="23"/>
      <c r="C26" s="4" t="s">
        <v>12</v>
      </c>
      <c r="D26" s="188">
        <f>FORSIDE!G24</f>
        <v>13</v>
      </c>
      <c r="E26" s="4" t="s">
        <v>54</v>
      </c>
      <c r="F26" s="4"/>
      <c r="G26" s="5"/>
      <c r="I26" s="23"/>
      <c r="J26" s="14" t="s">
        <v>39</v>
      </c>
      <c r="K26" s="189">
        <v>1.5</v>
      </c>
      <c r="L26" s="15" t="s">
        <v>40</v>
      </c>
      <c r="M26" s="4"/>
      <c r="N26" s="5"/>
      <c r="O26" s="23"/>
      <c r="P26" s="14" t="s">
        <v>39</v>
      </c>
      <c r="Q26" s="189">
        <v>1.5</v>
      </c>
      <c r="R26" s="15" t="s">
        <v>40</v>
      </c>
      <c r="S26" s="4"/>
      <c r="T26" s="5"/>
      <c r="U26" s="23"/>
      <c r="V26" s="14" t="s">
        <v>39</v>
      </c>
      <c r="W26" s="189">
        <v>1.5</v>
      </c>
      <c r="X26" s="15" t="s">
        <v>40</v>
      </c>
      <c r="Y26" s="4"/>
      <c r="Z26" s="5"/>
      <c r="AB26" s="24"/>
      <c r="AC26" s="47" t="s">
        <v>25</v>
      </c>
      <c r="AD26" s="50">
        <f>(AD24*AD22/AD23)</f>
        <v>2.7692307692307692</v>
      </c>
      <c r="AE26" s="51" t="s">
        <v>35</v>
      </c>
      <c r="AF26" s="52"/>
      <c r="AG26" s="5"/>
    </row>
    <row r="27" spans="2:51" ht="16.2" thickBot="1">
      <c r="B27" s="24"/>
      <c r="C27" s="4" t="s">
        <v>29</v>
      </c>
      <c r="D27" s="4">
        <f>D26/D22</f>
        <v>0.2</v>
      </c>
      <c r="E27" s="4" t="s">
        <v>53</v>
      </c>
      <c r="F27" s="4"/>
      <c r="G27" s="5"/>
      <c r="I27" s="23"/>
      <c r="J27" s="15"/>
      <c r="K27" s="15"/>
      <c r="L27" s="15"/>
      <c r="M27" s="4"/>
      <c r="N27" s="5"/>
      <c r="O27" s="23"/>
      <c r="P27" s="15"/>
      <c r="Q27" s="15"/>
      <c r="R27" s="15"/>
      <c r="S27" s="4"/>
      <c r="T27" s="5"/>
      <c r="U27" s="23"/>
      <c r="V27" s="15"/>
      <c r="W27" s="15"/>
      <c r="X27" s="15"/>
      <c r="Y27" s="4"/>
      <c r="Z27" s="5"/>
      <c r="AB27" s="60"/>
      <c r="AC27" s="61"/>
      <c r="AD27" s="17"/>
      <c r="AE27" s="17"/>
      <c r="AF27" s="17"/>
      <c r="AG27" s="62"/>
    </row>
    <row r="28" spans="2:51" ht="11.25" customHeight="1">
      <c r="B28" s="24"/>
      <c r="C28" s="4"/>
      <c r="D28" s="4"/>
      <c r="E28" s="4"/>
      <c r="F28" s="4"/>
      <c r="G28" s="5"/>
      <c r="I28" s="23"/>
      <c r="J28" s="4"/>
      <c r="K28" s="4"/>
      <c r="L28" s="4"/>
      <c r="M28" s="4"/>
      <c r="N28" s="5"/>
      <c r="O28" s="23"/>
      <c r="P28" s="4"/>
      <c r="Q28" s="4"/>
      <c r="R28" s="4"/>
      <c r="S28" s="4"/>
      <c r="T28" s="5"/>
      <c r="U28" s="23"/>
      <c r="V28" s="4"/>
      <c r="W28" s="4"/>
      <c r="X28" s="4"/>
      <c r="Y28" s="4"/>
      <c r="Z28" s="5"/>
      <c r="AB28" s="20"/>
      <c r="AC28" s="20"/>
      <c r="AD28" s="20"/>
      <c r="AE28" s="20"/>
      <c r="AF28" s="20"/>
      <c r="AG28" s="20"/>
    </row>
    <row r="29" spans="2:51" ht="14.4" thickBot="1">
      <c r="B29" s="24"/>
      <c r="C29" s="4" t="s">
        <v>25</v>
      </c>
      <c r="D29" s="16">
        <f>1000/(D20*D25*D22)</f>
        <v>6.5977509586532132E-2</v>
      </c>
      <c r="E29" s="4" t="s">
        <v>6</v>
      </c>
      <c r="F29" s="4"/>
      <c r="G29" s="5"/>
      <c r="I29" s="24"/>
      <c r="J29" s="4"/>
      <c r="K29" s="4"/>
      <c r="L29" s="4"/>
      <c r="M29" s="4"/>
      <c r="N29" s="5"/>
      <c r="O29" s="24"/>
      <c r="P29" s="4"/>
      <c r="Q29" s="4"/>
      <c r="R29" s="4"/>
      <c r="S29" s="4"/>
      <c r="T29" s="5"/>
      <c r="U29" s="24"/>
      <c r="V29" s="4"/>
      <c r="W29" s="4"/>
      <c r="X29" s="4"/>
      <c r="Y29" s="4"/>
      <c r="Z29" s="5"/>
      <c r="AB29" s="20"/>
      <c r="AC29" s="20"/>
      <c r="AD29" s="20"/>
      <c r="AE29" s="20"/>
      <c r="AF29" s="20"/>
      <c r="AG29" s="20"/>
    </row>
    <row r="30" spans="2:51" ht="25.5" customHeight="1" thickBot="1">
      <c r="B30" s="39"/>
      <c r="C30" s="47" t="s">
        <v>25</v>
      </c>
      <c r="D30" s="50">
        <f>D29*100*0.6</f>
        <v>3.9586505751919279</v>
      </c>
      <c r="E30" s="51" t="s">
        <v>35</v>
      </c>
      <c r="F30" s="52"/>
      <c r="G30" s="5"/>
      <c r="I30" s="24"/>
      <c r="J30" s="47" t="s">
        <v>25</v>
      </c>
      <c r="K30" s="50">
        <f>K26</f>
        <v>1.5</v>
      </c>
      <c r="L30" s="51" t="s">
        <v>35</v>
      </c>
      <c r="M30" s="52"/>
      <c r="N30" s="5"/>
      <c r="O30" s="24"/>
      <c r="P30" s="47" t="s">
        <v>25</v>
      </c>
      <c r="Q30" s="50">
        <f>Q26</f>
        <v>1.5</v>
      </c>
      <c r="R30" s="51" t="s">
        <v>35</v>
      </c>
      <c r="S30" s="52"/>
      <c r="T30" s="5"/>
      <c r="U30" s="24"/>
      <c r="V30" s="47" t="s">
        <v>25</v>
      </c>
      <c r="W30" s="50">
        <f>W26</f>
        <v>1.5</v>
      </c>
      <c r="X30" s="51" t="s">
        <v>35</v>
      </c>
      <c r="Y30" s="52"/>
      <c r="Z30" s="5"/>
      <c r="AB30" s="20"/>
      <c r="AC30" s="20"/>
      <c r="AD30" s="20"/>
      <c r="AE30" s="20"/>
      <c r="AF30" s="20"/>
      <c r="AG30" s="20"/>
    </row>
    <row r="31" spans="2:51" s="11" customFormat="1" ht="12.75" customHeight="1" thickBot="1">
      <c r="B31" s="64"/>
      <c r="C31" s="61"/>
      <c r="D31" s="61"/>
      <c r="E31" s="61"/>
      <c r="F31" s="61"/>
      <c r="G31" s="62"/>
      <c r="H31" s="40"/>
      <c r="I31" s="60"/>
      <c r="J31" s="61"/>
      <c r="K31" s="17"/>
      <c r="L31" s="17"/>
      <c r="M31" s="17"/>
      <c r="N31" s="62"/>
      <c r="O31" s="60"/>
      <c r="P31" s="61"/>
      <c r="Q31" s="17"/>
      <c r="R31" s="17"/>
      <c r="S31" s="17"/>
      <c r="T31" s="62"/>
      <c r="U31" s="60"/>
      <c r="V31" s="61"/>
      <c r="W31" s="17"/>
      <c r="X31" s="17"/>
      <c r="Y31" s="17"/>
      <c r="Z31" s="62"/>
      <c r="AA31" s="40"/>
      <c r="AB31" s="20"/>
      <c r="AC31" s="20"/>
      <c r="AD31" s="20"/>
      <c r="AE31" s="20"/>
      <c r="AF31" s="20"/>
      <c r="AG31" s="20"/>
      <c r="AH31" s="73"/>
      <c r="AI31" s="73"/>
      <c r="AJ31" s="73"/>
      <c r="AK31" s="73"/>
      <c r="AL31" s="73"/>
      <c r="AM31" s="73"/>
      <c r="AN31" s="73"/>
      <c r="AO31" s="73"/>
      <c r="AP31" s="73"/>
      <c r="AQ31" s="73"/>
      <c r="AR31" s="73"/>
      <c r="AS31" s="73"/>
      <c r="AT31" s="73"/>
      <c r="AU31" s="73"/>
      <c r="AV31" s="73"/>
      <c r="AW31" s="73"/>
      <c r="AX31" s="73"/>
      <c r="AY31" s="73"/>
    </row>
    <row r="32" spans="2:51" ht="14.25" customHeight="1">
      <c r="B32" s="20"/>
      <c r="C32" s="20"/>
      <c r="D32" s="20"/>
      <c r="E32" s="20"/>
      <c r="F32" s="20"/>
      <c r="G32" s="20"/>
      <c r="H32" s="20"/>
      <c r="I32" s="20"/>
      <c r="J32" s="20"/>
      <c r="K32" s="20"/>
      <c r="L32" s="20"/>
      <c r="M32" s="20"/>
      <c r="N32" s="20"/>
      <c r="O32" s="20"/>
      <c r="P32" s="20"/>
      <c r="Q32" s="20"/>
      <c r="R32" s="20"/>
      <c r="S32" s="20"/>
      <c r="T32" s="20"/>
      <c r="U32" s="20"/>
      <c r="V32" s="20"/>
      <c r="W32" s="20"/>
      <c r="X32" s="20"/>
      <c r="Y32" s="20"/>
      <c r="Z32" s="20"/>
      <c r="AA32" s="20"/>
      <c r="AB32" s="20"/>
      <c r="AC32" s="20"/>
      <c r="AD32" s="20"/>
      <c r="AE32" s="20"/>
      <c r="AF32" s="20"/>
      <c r="AG32" s="20"/>
    </row>
    <row r="33" spans="2:33" ht="27.9" customHeight="1">
      <c r="B33" s="20"/>
      <c r="C33" s="20"/>
      <c r="D33" s="20"/>
      <c r="E33" s="20"/>
      <c r="F33" s="20"/>
      <c r="G33" s="20"/>
      <c r="H33" s="20"/>
      <c r="I33" s="20"/>
      <c r="J33" s="20"/>
      <c r="K33" s="20"/>
      <c r="L33" s="20"/>
      <c r="M33" s="20"/>
      <c r="N33" s="20"/>
      <c r="O33" s="20"/>
      <c r="P33" s="20"/>
      <c r="Q33" s="20"/>
      <c r="R33" s="20"/>
      <c r="S33" s="20"/>
      <c r="T33" s="20"/>
      <c r="U33" s="20"/>
      <c r="V33" s="20"/>
      <c r="W33" s="20"/>
      <c r="X33" s="20"/>
      <c r="Y33" s="20"/>
      <c r="Z33" s="20"/>
      <c r="AA33" s="20"/>
      <c r="AB33" s="20"/>
      <c r="AC33" s="20"/>
      <c r="AD33" s="20"/>
      <c r="AE33" s="20"/>
      <c r="AF33" s="20"/>
      <c r="AG33" s="20"/>
    </row>
    <row r="34" spans="2:33" ht="15.75" customHeight="1">
      <c r="B34" s="20"/>
      <c r="C34" s="20"/>
      <c r="D34" s="20"/>
      <c r="E34" s="20"/>
      <c r="F34" s="20"/>
      <c r="G34" s="20"/>
      <c r="H34" s="20"/>
      <c r="I34" s="20"/>
      <c r="J34" s="20"/>
      <c r="K34" s="20"/>
      <c r="L34" s="20"/>
      <c r="M34" s="20"/>
      <c r="N34" s="20"/>
      <c r="O34" s="20"/>
      <c r="P34" s="20"/>
      <c r="Q34" s="20"/>
      <c r="R34" s="20"/>
      <c r="S34" s="20"/>
      <c r="T34" s="20"/>
      <c r="U34" s="20"/>
      <c r="V34" s="20"/>
      <c r="W34" s="20"/>
      <c r="X34" s="20"/>
      <c r="Y34" s="20"/>
      <c r="Z34" s="20"/>
      <c r="AA34" s="20"/>
      <c r="AB34" s="20"/>
      <c r="AC34" s="20"/>
      <c r="AD34" s="20"/>
      <c r="AE34" s="20"/>
      <c r="AF34" s="20"/>
      <c r="AG34" s="20"/>
    </row>
    <row r="35" spans="2:33">
      <c r="B35" s="20"/>
      <c r="C35" s="20"/>
      <c r="D35" s="20"/>
      <c r="E35" s="20"/>
      <c r="F35" s="20"/>
      <c r="G35" s="20"/>
      <c r="H35" s="20"/>
      <c r="I35" s="20"/>
      <c r="J35" s="20"/>
      <c r="K35" s="20"/>
      <c r="L35" s="20"/>
      <c r="M35" s="20"/>
      <c r="N35" s="20"/>
      <c r="O35" s="20"/>
      <c r="P35" s="20"/>
      <c r="Q35" s="20"/>
      <c r="R35" s="20"/>
      <c r="S35" s="20"/>
      <c r="T35" s="20"/>
      <c r="U35" s="20"/>
      <c r="V35" s="20"/>
      <c r="W35" s="20"/>
      <c r="X35" s="20"/>
      <c r="Y35" s="20"/>
      <c r="Z35" s="20"/>
      <c r="AA35" s="20"/>
      <c r="AB35" s="20"/>
      <c r="AC35" s="20"/>
      <c r="AD35" s="20"/>
      <c r="AE35" s="20"/>
      <c r="AF35" s="20"/>
      <c r="AG35" s="20"/>
    </row>
    <row r="36" spans="2:33" ht="15.75" customHeight="1">
      <c r="B36" s="20"/>
      <c r="C36" s="20"/>
      <c r="D36" s="20"/>
      <c r="E36" s="20"/>
      <c r="F36" s="20"/>
      <c r="G36" s="20"/>
      <c r="H36" s="20"/>
      <c r="I36" s="20"/>
      <c r="J36" s="20"/>
      <c r="K36" s="20"/>
      <c r="L36" s="20"/>
      <c r="M36" s="20"/>
      <c r="N36" s="20"/>
      <c r="O36" s="20"/>
      <c r="P36" s="20"/>
      <c r="Q36" s="20"/>
      <c r="R36" s="20"/>
      <c r="S36" s="20"/>
      <c r="T36" s="20"/>
      <c r="U36" s="20"/>
      <c r="V36" s="20"/>
      <c r="W36" s="20"/>
      <c r="X36" s="20"/>
      <c r="Y36" s="20"/>
      <c r="Z36" s="20"/>
      <c r="AA36" s="20"/>
      <c r="AB36" s="20"/>
      <c r="AC36" s="20"/>
      <c r="AD36" s="20"/>
      <c r="AE36" s="20"/>
      <c r="AF36" s="20"/>
      <c r="AG36" s="20"/>
    </row>
    <row r="37" spans="2:33">
      <c r="B37" s="20"/>
      <c r="C37" s="20"/>
      <c r="D37" s="20"/>
      <c r="E37" s="20"/>
      <c r="F37" s="20"/>
      <c r="G37" s="20"/>
      <c r="H37" s="20"/>
      <c r="I37" s="20"/>
      <c r="J37" s="20"/>
      <c r="K37" s="20"/>
      <c r="L37" s="20"/>
      <c r="M37" s="20"/>
      <c r="N37" s="20"/>
      <c r="O37" s="20"/>
      <c r="P37" s="20"/>
      <c r="Q37" s="20"/>
      <c r="R37" s="20"/>
      <c r="S37" s="20"/>
      <c r="T37" s="20"/>
      <c r="U37" s="20"/>
      <c r="V37" s="20"/>
      <c r="W37" s="20"/>
      <c r="X37" s="20"/>
      <c r="Y37" s="20"/>
      <c r="Z37" s="20"/>
      <c r="AA37" s="20"/>
      <c r="AB37" s="20"/>
      <c r="AC37" s="20"/>
      <c r="AD37" s="20"/>
      <c r="AE37" s="20"/>
      <c r="AF37" s="20"/>
      <c r="AG37" s="20"/>
    </row>
    <row r="38" spans="2:33" ht="15.75" customHeight="1">
      <c r="B38" s="20"/>
      <c r="C38" s="20"/>
      <c r="D38" s="20"/>
      <c r="E38" s="20"/>
      <c r="F38" s="20"/>
      <c r="G38" s="20"/>
      <c r="H38" s="20"/>
      <c r="I38" s="20"/>
      <c r="J38" s="20"/>
      <c r="K38" s="20"/>
      <c r="L38" s="20"/>
      <c r="M38" s="20"/>
      <c r="N38" s="20"/>
      <c r="O38" s="20"/>
      <c r="P38" s="20"/>
      <c r="Q38" s="20"/>
      <c r="R38" s="20"/>
      <c r="S38" s="20"/>
      <c r="T38" s="20"/>
      <c r="U38" s="20"/>
      <c r="V38" s="20"/>
      <c r="W38" s="20"/>
      <c r="X38" s="20"/>
      <c r="Y38" s="20"/>
      <c r="Z38" s="20"/>
      <c r="AA38" s="20"/>
      <c r="AB38" s="20"/>
      <c r="AC38" s="20"/>
      <c r="AD38" s="20"/>
      <c r="AE38" s="20"/>
      <c r="AF38" s="20"/>
      <c r="AG38" s="20"/>
    </row>
    <row r="39" spans="2:33"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  <c r="S39" s="20"/>
      <c r="T39" s="20"/>
      <c r="U39" s="20"/>
      <c r="V39" s="20"/>
      <c r="W39" s="20"/>
      <c r="X39" s="20"/>
      <c r="Y39" s="20"/>
      <c r="Z39" s="20"/>
      <c r="AA39" s="20"/>
      <c r="AB39" s="20"/>
      <c r="AC39" s="20"/>
      <c r="AD39" s="20"/>
      <c r="AE39" s="20"/>
      <c r="AF39" s="20"/>
      <c r="AG39" s="20"/>
    </row>
    <row r="40" spans="2:33"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  <c r="S40" s="20"/>
      <c r="T40" s="20"/>
      <c r="U40" s="20"/>
      <c r="V40" s="20"/>
      <c r="W40" s="20"/>
      <c r="X40" s="20"/>
      <c r="Y40" s="20"/>
      <c r="Z40" s="20"/>
      <c r="AA40" s="20"/>
      <c r="AB40" s="20"/>
      <c r="AC40" s="20"/>
      <c r="AD40" s="20"/>
      <c r="AE40" s="20"/>
      <c r="AF40" s="20"/>
      <c r="AG40" s="20"/>
    </row>
    <row r="41" spans="2:33">
      <c r="B41" s="20"/>
      <c r="C41" s="20"/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  <c r="S41" s="20"/>
      <c r="T41" s="20"/>
      <c r="U41" s="20"/>
      <c r="V41" s="20"/>
      <c r="W41" s="20"/>
      <c r="X41" s="20"/>
      <c r="Y41" s="20"/>
      <c r="Z41" s="20"/>
      <c r="AA41" s="20"/>
      <c r="AB41" s="20"/>
      <c r="AC41" s="20"/>
      <c r="AD41" s="20"/>
      <c r="AE41" s="20"/>
      <c r="AF41" s="20"/>
      <c r="AG41" s="20"/>
    </row>
    <row r="42" spans="2:33">
      <c r="B42" s="20"/>
      <c r="C42" s="20"/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  <c r="S42" s="20"/>
      <c r="T42" s="20"/>
      <c r="U42" s="20"/>
      <c r="V42" s="20"/>
      <c r="W42" s="20"/>
      <c r="X42" s="20"/>
      <c r="Y42" s="20"/>
      <c r="Z42" s="20"/>
      <c r="AA42" s="20"/>
      <c r="AB42" s="20"/>
      <c r="AC42" s="20"/>
      <c r="AD42" s="20"/>
      <c r="AE42" s="20"/>
      <c r="AF42" s="20"/>
      <c r="AG42" s="20"/>
    </row>
    <row r="43" spans="2:33"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</row>
    <row r="44" spans="2:33">
      <c r="B44" s="20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0"/>
      <c r="X44" s="20"/>
      <c r="Y44" s="20"/>
      <c r="Z44" s="20"/>
      <c r="AA44" s="20"/>
      <c r="AB44" s="20"/>
      <c r="AC44" s="20"/>
      <c r="AD44" s="20"/>
      <c r="AE44" s="20"/>
      <c r="AF44" s="20"/>
      <c r="AG44" s="20"/>
    </row>
    <row r="45" spans="2:33">
      <c r="B45" s="20"/>
      <c r="C45" s="20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0"/>
      <c r="X45" s="20"/>
      <c r="Y45" s="20"/>
      <c r="Z45" s="20"/>
      <c r="AA45" s="20"/>
      <c r="AB45" s="20"/>
      <c r="AC45" s="20"/>
      <c r="AD45" s="20"/>
      <c r="AE45" s="20"/>
      <c r="AF45" s="20"/>
      <c r="AG45" s="20"/>
    </row>
    <row r="46" spans="2:33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0"/>
      <c r="X46" s="20"/>
      <c r="Y46" s="20"/>
      <c r="Z46" s="20"/>
      <c r="AA46" s="20"/>
      <c r="AB46" s="20"/>
      <c r="AC46" s="20"/>
      <c r="AD46" s="20"/>
      <c r="AE46" s="20"/>
      <c r="AF46" s="20"/>
      <c r="AG46" s="20"/>
    </row>
    <row r="47" spans="2:33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0"/>
      <c r="X47" s="20"/>
      <c r="Y47" s="20"/>
      <c r="Z47" s="20"/>
      <c r="AA47" s="20"/>
      <c r="AB47" s="20"/>
      <c r="AC47" s="20"/>
      <c r="AD47" s="20"/>
      <c r="AE47" s="20"/>
      <c r="AF47" s="20"/>
      <c r="AG47" s="20"/>
    </row>
    <row r="48" spans="2:33" ht="15.75" customHeight="1">
      <c r="B48" s="20"/>
      <c r="C48" s="20"/>
      <c r="D48" s="20"/>
      <c r="E48" s="20"/>
      <c r="F48" s="20"/>
      <c r="G48" s="20"/>
      <c r="H48" s="20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0"/>
      <c r="X48" s="20"/>
      <c r="Y48" s="20"/>
      <c r="Z48" s="20"/>
      <c r="AA48" s="20"/>
      <c r="AB48" s="20"/>
      <c r="AC48" s="20"/>
      <c r="AD48" s="20"/>
      <c r="AE48" s="20"/>
      <c r="AF48" s="20"/>
      <c r="AG48" s="20"/>
    </row>
    <row r="49" spans="2:51">
      <c r="B49" s="20"/>
      <c r="C49" s="20"/>
      <c r="D49" s="20"/>
      <c r="E49" s="20"/>
      <c r="F49" s="20"/>
      <c r="G49" s="20"/>
      <c r="H49" s="20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0"/>
      <c r="X49" s="20"/>
      <c r="Y49" s="20"/>
      <c r="Z49" s="20"/>
      <c r="AA49" s="20"/>
      <c r="AB49" s="20"/>
      <c r="AC49" s="20"/>
      <c r="AD49" s="20"/>
      <c r="AE49" s="20"/>
      <c r="AF49" s="20"/>
      <c r="AG49" s="20"/>
    </row>
    <row r="50" spans="2:51" s="1" customFormat="1" ht="15.75" customHeight="1">
      <c r="B50" s="20"/>
      <c r="C50" s="20"/>
      <c r="D50" s="20"/>
      <c r="E50" s="20"/>
      <c r="F50" s="20"/>
      <c r="G50" s="20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0"/>
      <c r="X50" s="20"/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0"/>
      <c r="AJ50" s="20"/>
      <c r="AK50" s="20"/>
      <c r="AL50" s="20"/>
      <c r="AM50" s="20"/>
      <c r="AN50" s="20"/>
      <c r="AO50" s="20"/>
      <c r="AP50" s="20"/>
      <c r="AQ50" s="20"/>
      <c r="AR50" s="20"/>
      <c r="AS50" s="20"/>
      <c r="AT50" s="20"/>
      <c r="AU50" s="20"/>
      <c r="AV50" s="20"/>
      <c r="AW50" s="20"/>
      <c r="AX50" s="20"/>
      <c r="AY50" s="20"/>
    </row>
    <row r="51" spans="2:51" s="20" customFormat="1"/>
    <row r="52" spans="2:51" s="20" customFormat="1"/>
    <row r="53" spans="2:51" s="20" customFormat="1"/>
    <row r="54" spans="2:51" s="20" customFormat="1"/>
    <row r="55" spans="2:51" s="20" customFormat="1"/>
    <row r="56" spans="2:51" s="20" customFormat="1"/>
    <row r="57" spans="2:51" s="20" customFormat="1"/>
    <row r="58" spans="2:51" s="20" customFormat="1"/>
    <row r="59" spans="2:51" s="20" customFormat="1"/>
    <row r="60" spans="2:51" s="20" customFormat="1"/>
    <row r="61" spans="2:51" s="20" customFormat="1"/>
    <row r="62" spans="2:51" s="20" customFormat="1"/>
    <row r="63" spans="2:51" s="20" customFormat="1"/>
    <row r="64" spans="2:51" s="20" customFormat="1"/>
    <row r="65" s="20" customFormat="1"/>
    <row r="66" s="20" customFormat="1"/>
    <row r="67" s="20" customFormat="1"/>
    <row r="68" s="20" customFormat="1"/>
    <row r="69" s="20" customFormat="1"/>
    <row r="70" s="20" customFormat="1"/>
    <row r="71" s="20" customFormat="1"/>
    <row r="72" s="20" customFormat="1"/>
    <row r="73" s="20" customFormat="1"/>
    <row r="74" s="20" customFormat="1"/>
    <row r="75" s="20" customFormat="1"/>
    <row r="76" s="20" customFormat="1"/>
    <row r="77" s="20" customFormat="1"/>
    <row r="78" s="20" customFormat="1"/>
    <row r="79" s="20" customFormat="1"/>
    <row r="80" s="20" customFormat="1"/>
    <row r="81" spans="9:27" s="20" customFormat="1"/>
    <row r="82" spans="9:27" s="20" customFormat="1"/>
    <row r="83" spans="9:27">
      <c r="I83" s="20"/>
      <c r="J83" s="20"/>
      <c r="K83" s="20"/>
      <c r="L83" s="20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0"/>
      <c r="X83" s="20"/>
      <c r="Y83" s="20"/>
      <c r="Z83" s="20"/>
      <c r="AA83" s="20"/>
    </row>
    <row r="84" spans="9:27"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0"/>
      <c r="X84" s="20"/>
      <c r="Y84" s="20"/>
      <c r="Z84" s="20"/>
      <c r="AA84" s="20"/>
    </row>
  </sheetData>
  <sheetProtection selectLockedCells="1"/>
  <mergeCells count="6">
    <mergeCell ref="V21:V22"/>
    <mergeCell ref="I21:I22"/>
    <mergeCell ref="J21:J22"/>
    <mergeCell ref="O21:O22"/>
    <mergeCell ref="P21:P22"/>
    <mergeCell ref="U21:U22"/>
  </mergeCells>
  <dataValidations count="1">
    <dataValidation type="list" allowBlank="1" showInputMessage="1" showErrorMessage="1" sqref="K24 AD9 Q24 W24" xr:uid="{00000000-0002-0000-0400-000000000000}">
      <formula1>$C$8:$C$11</formula1>
    </dataValidation>
  </dataValidations>
  <hyperlinks>
    <hyperlink ref="E23:F23" location="Hjelpetabeller!A1" display=" klasse fra tabell" xr:uid="{00000000-0004-0000-0400-000000000000}"/>
  </hyperlinks>
  <pageMargins left="0.25" right="0.25" top="0.75" bottom="0.75" header="0.3" footer="0.3"/>
  <pageSetup paperSize="9" scale="6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HJELPETABELLER!$F$7:$F$11</xm:f>
          </x14:formula1>
          <xm:sqref>D24</xm:sqref>
        </x14:dataValidation>
        <x14:dataValidation type="list" allowBlank="1" showInputMessage="1" showErrorMessage="1" xr:uid="{00000000-0002-0000-0400-000002000000}">
          <x14:formula1>
            <xm:f>HJELPETABELLER!$B$7:$B$11</xm:f>
          </x14:formula1>
          <xm:sqref>D23</xm:sqref>
        </x14:dataValidation>
        <x14:dataValidation type="list" allowBlank="1" showInputMessage="1" showErrorMessage="1" xr:uid="{00000000-0002-0000-0400-000003000000}">
          <x14:formula1>
            <xm:f>HJELPETABELLER!$J$7:$J$9</xm:f>
          </x14:formula1>
          <xm:sqref>K26 Q26 W26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sLass">
    <pageSetUpPr fitToPage="1"/>
  </sheetPr>
  <dimension ref="B1:AM126"/>
  <sheetViews>
    <sheetView workbookViewId="0"/>
  </sheetViews>
  <sheetFormatPr baseColWidth="10" defaultColWidth="11.3984375" defaultRowHeight="13.8"/>
  <cols>
    <col min="1" max="1" width="1.3984375" style="285" customWidth="1"/>
    <col min="2" max="2" width="6.8984375" style="285" customWidth="1"/>
    <col min="3" max="3" width="49.59765625" style="285" customWidth="1"/>
    <col min="4" max="4" width="7.59765625" style="285" customWidth="1"/>
    <col min="5" max="5" width="11.3984375" style="285"/>
    <col min="6" max="6" width="10.59765625" style="285" customWidth="1"/>
    <col min="7" max="7" width="2.09765625" style="285" customWidth="1"/>
    <col min="8" max="8" width="2.09765625" style="300" customWidth="1"/>
    <col min="9" max="9" width="6.8984375" style="285" customWidth="1"/>
    <col min="10" max="10" width="34" style="285" customWidth="1"/>
    <col min="11" max="11" width="7.09765625" style="285" customWidth="1"/>
    <col min="12" max="13" width="11.3984375" style="285"/>
    <col min="14" max="14" width="2.09765625" style="285" customWidth="1"/>
    <col min="15" max="15" width="2.59765625" style="300" customWidth="1"/>
    <col min="16" max="16" width="6.8984375" style="284" customWidth="1"/>
    <col min="17" max="17" width="34" style="284" customWidth="1"/>
    <col min="18" max="18" width="7.09765625" style="284" customWidth="1"/>
    <col min="19" max="20" width="11.3984375" style="284"/>
    <col min="21" max="21" width="2.59765625" style="284" customWidth="1"/>
    <col min="22" max="29" width="11.3984375" style="284"/>
    <col min="30" max="16384" width="11.3984375" style="285"/>
  </cols>
  <sheetData>
    <row r="1" spans="2:39" s="282" customFormat="1" ht="12" customHeight="1"/>
    <row r="2" spans="2:39" s="282" customFormat="1" ht="12" customHeight="1"/>
    <row r="3" spans="2:39" s="282" customFormat="1" ht="12" customHeight="1"/>
    <row r="4" spans="2:39" s="284" customFormat="1" ht="42" customHeight="1">
      <c r="B4" s="283" t="s">
        <v>208</v>
      </c>
      <c r="AM4" s="285"/>
    </row>
    <row r="5" spans="2:39" s="284" customFormat="1" ht="30" customHeight="1" thickBot="1"/>
    <row r="6" spans="2:39" ht="46.35" customHeight="1">
      <c r="B6" s="286" t="s">
        <v>1</v>
      </c>
      <c r="C6" s="287" t="s">
        <v>65</v>
      </c>
      <c r="D6" s="288"/>
      <c r="E6" s="288"/>
      <c r="F6" s="288"/>
      <c r="G6" s="289"/>
      <c r="H6" s="290"/>
      <c r="I6" s="291" t="s">
        <v>347</v>
      </c>
      <c r="J6" s="554" t="s">
        <v>348</v>
      </c>
      <c r="K6" s="554"/>
      <c r="L6" s="554"/>
      <c r="M6" s="554"/>
      <c r="N6" s="555"/>
      <c r="O6" s="290"/>
      <c r="P6" s="286" t="s">
        <v>349</v>
      </c>
      <c r="Q6" s="292" t="s">
        <v>350</v>
      </c>
      <c r="R6" s="293"/>
      <c r="S6" s="294"/>
      <c r="T6" s="294"/>
      <c r="U6" s="295"/>
    </row>
    <row r="7" spans="2:39" ht="22.8">
      <c r="B7" s="296"/>
      <c r="C7" s="297"/>
      <c r="D7" s="298"/>
      <c r="E7" s="297"/>
      <c r="F7" s="297"/>
      <c r="G7" s="299"/>
      <c r="I7" s="296"/>
      <c r="J7" s="297"/>
      <c r="K7" s="298"/>
      <c r="L7" s="297"/>
      <c r="M7" s="297"/>
      <c r="N7" s="299"/>
      <c r="P7" s="301"/>
      <c r="Q7" s="302"/>
      <c r="R7" s="297"/>
      <c r="S7" s="303" t="s">
        <v>351</v>
      </c>
      <c r="T7" s="297"/>
      <c r="U7" s="299"/>
    </row>
    <row r="8" spans="2:39" ht="20.399999999999999">
      <c r="B8" s="296"/>
      <c r="C8" s="298"/>
      <c r="D8" s="298"/>
      <c r="E8" s="303" t="s">
        <v>351</v>
      </c>
      <c r="F8" s="304"/>
      <c r="G8" s="299"/>
      <c r="I8" s="296"/>
      <c r="J8" s="297"/>
      <c r="K8" s="298"/>
      <c r="L8" s="303" t="s">
        <v>351</v>
      </c>
      <c r="M8" s="297"/>
      <c r="N8" s="299"/>
      <c r="P8" s="305"/>
      <c r="Q8" s="306"/>
      <c r="R8" s="306"/>
      <c r="S8" s="297"/>
      <c r="T8" s="297"/>
      <c r="U8" s="307"/>
    </row>
    <row r="9" spans="2:39" ht="15.6">
      <c r="B9" s="296"/>
      <c r="C9" s="304"/>
      <c r="D9" s="298"/>
      <c r="E9" s="297"/>
      <c r="F9" s="297"/>
      <c r="G9" s="299"/>
      <c r="I9" s="308"/>
      <c r="J9" s="297"/>
      <c r="K9" s="297"/>
      <c r="L9" s="297"/>
      <c r="M9" s="297"/>
      <c r="N9" s="299"/>
      <c r="P9" s="309" t="s">
        <v>47</v>
      </c>
      <c r="Q9" s="310" t="s">
        <v>94</v>
      </c>
      <c r="R9" s="311">
        <f>D21/D20</f>
        <v>0.2</v>
      </c>
      <c r="S9" s="311" t="s">
        <v>16</v>
      </c>
      <c r="T9" s="311"/>
      <c r="U9" s="312"/>
    </row>
    <row r="10" spans="2:39" ht="15.6">
      <c r="B10" s="296"/>
      <c r="C10" s="304"/>
      <c r="D10" s="304"/>
      <c r="E10" s="304"/>
      <c r="F10" s="304"/>
      <c r="G10" s="299"/>
      <c r="I10" s="308"/>
      <c r="J10" s="297"/>
      <c r="K10" s="297"/>
      <c r="L10" s="297"/>
      <c r="M10" s="297"/>
      <c r="N10" s="299"/>
      <c r="P10" s="313"/>
      <c r="Q10" s="310"/>
      <c r="R10" s="311"/>
      <c r="S10" s="314"/>
      <c r="T10" s="311"/>
      <c r="U10" s="312"/>
    </row>
    <row r="11" spans="2:39" ht="16.8" thickBot="1">
      <c r="B11" s="315"/>
      <c r="C11" s="316"/>
      <c r="D11" s="316"/>
      <c r="E11" s="316"/>
      <c r="F11" s="316"/>
      <c r="G11" s="312"/>
      <c r="I11" s="308"/>
      <c r="J11" s="297"/>
      <c r="K11" s="297"/>
      <c r="L11" s="297"/>
      <c r="M11" s="297"/>
      <c r="N11" s="299"/>
      <c r="P11" s="313"/>
      <c r="Q11" s="317" t="s">
        <v>80</v>
      </c>
      <c r="R11" s="318">
        <f>IF(R9&lt;0.5,0.05-R9,0.05-0.5)</f>
        <v>-0.15000000000000002</v>
      </c>
      <c r="S11" s="319" t="s">
        <v>352</v>
      </c>
      <c r="T11" s="320"/>
      <c r="U11" s="312"/>
    </row>
    <row r="12" spans="2:39" ht="16.2" thickBot="1">
      <c r="B12" s="315"/>
      <c r="C12" s="316"/>
      <c r="D12" s="316"/>
      <c r="E12" s="316"/>
      <c r="F12" s="316"/>
      <c r="G12" s="312"/>
      <c r="I12" s="321" t="s">
        <v>83</v>
      </c>
      <c r="J12" s="310" t="s">
        <v>84</v>
      </c>
      <c r="K12" s="322">
        <f>FORSIDE!M30</f>
        <v>600</v>
      </c>
      <c r="L12" s="314" t="s">
        <v>91</v>
      </c>
      <c r="M12" s="314"/>
      <c r="N12" s="312"/>
      <c r="P12" s="323"/>
      <c r="Q12" s="311"/>
      <c r="R12" s="311"/>
      <c r="S12" s="311"/>
      <c r="T12" s="311"/>
      <c r="U12" s="312"/>
    </row>
    <row r="13" spans="2:39" ht="16.8" thickBot="1">
      <c r="B13" s="315"/>
      <c r="C13" s="316"/>
      <c r="D13" s="316"/>
      <c r="E13" s="316"/>
      <c r="F13" s="316"/>
      <c r="G13" s="312"/>
      <c r="I13" s="321" t="s">
        <v>49</v>
      </c>
      <c r="J13" s="311" t="s">
        <v>86</v>
      </c>
      <c r="K13" s="311">
        <f>'HOGSTMASKIN (G0)'!D23</f>
        <v>2</v>
      </c>
      <c r="L13" s="314" t="s">
        <v>90</v>
      </c>
      <c r="M13" s="311"/>
      <c r="N13" s="312"/>
      <c r="P13" s="323"/>
      <c r="Q13" s="317" t="s">
        <v>81</v>
      </c>
      <c r="R13" s="324">
        <f>((R11*100)*0.6)*($D$21/$D$20)</f>
        <v>-1.8</v>
      </c>
      <c r="S13" s="325" t="s">
        <v>353</v>
      </c>
      <c r="T13" s="326"/>
      <c r="U13" s="312"/>
    </row>
    <row r="14" spans="2:39" ht="16.2" thickBot="1">
      <c r="B14" s="315"/>
      <c r="C14" s="316"/>
      <c r="D14" s="316"/>
      <c r="E14" s="316"/>
      <c r="F14" s="316"/>
      <c r="G14" s="312"/>
      <c r="I14" s="321" t="s">
        <v>87</v>
      </c>
      <c r="J14" s="311" t="s">
        <v>88</v>
      </c>
      <c r="K14" s="311">
        <f>'HOGSTMASKIN (G0)'!D24</f>
        <v>2</v>
      </c>
      <c r="L14" s="314" t="s">
        <v>90</v>
      </c>
      <c r="M14" s="311"/>
      <c r="N14" s="312"/>
      <c r="P14" s="327"/>
      <c r="Q14" s="328"/>
      <c r="R14" s="329"/>
      <c r="S14" s="329"/>
      <c r="T14" s="329"/>
      <c r="U14" s="330"/>
    </row>
    <row r="15" spans="2:39" ht="14.4" thickBot="1">
      <c r="B15" s="323"/>
      <c r="C15" s="311"/>
      <c r="D15" s="311"/>
      <c r="E15" s="311"/>
      <c r="F15" s="311"/>
      <c r="G15" s="312"/>
      <c r="I15" s="321" t="s">
        <v>51</v>
      </c>
      <c r="J15" s="310" t="s">
        <v>85</v>
      </c>
      <c r="K15" s="311">
        <f>75-(8.2*K13)-(1.4*(K14*K14))</f>
        <v>53</v>
      </c>
      <c r="L15" s="311" t="s">
        <v>93</v>
      </c>
      <c r="M15" s="311"/>
      <c r="N15" s="312"/>
    </row>
    <row r="16" spans="2:39" ht="23.4" thickBot="1">
      <c r="B16" s="323"/>
      <c r="C16" s="311"/>
      <c r="D16" s="553"/>
      <c r="E16" s="553"/>
      <c r="F16" s="311"/>
      <c r="G16" s="312"/>
      <c r="I16" s="321" t="s">
        <v>50</v>
      </c>
      <c r="J16" s="331" t="s">
        <v>89</v>
      </c>
      <c r="K16" s="322">
        <f>FORSIDE!M34</f>
        <v>15</v>
      </c>
      <c r="L16" s="311" t="s">
        <v>92</v>
      </c>
      <c r="M16" s="311"/>
      <c r="N16" s="312"/>
      <c r="P16" s="332" t="s">
        <v>354</v>
      </c>
      <c r="Q16" s="333" t="s">
        <v>178</v>
      </c>
      <c r="R16" s="334"/>
      <c r="S16" s="335"/>
      <c r="T16" s="335"/>
      <c r="U16" s="295"/>
    </row>
    <row r="17" spans="2:29" ht="15.75" customHeight="1">
      <c r="B17" s="315"/>
      <c r="C17" s="316"/>
      <c r="D17" s="336"/>
      <c r="E17" s="311"/>
      <c r="F17" s="311"/>
      <c r="G17" s="312"/>
      <c r="I17" s="337"/>
      <c r="J17" s="311"/>
      <c r="K17" s="311"/>
      <c r="L17" s="311"/>
      <c r="M17" s="311"/>
      <c r="N17" s="312"/>
      <c r="P17" s="392" t="s">
        <v>97</v>
      </c>
      <c r="Q17" s="306"/>
      <c r="R17" s="306"/>
      <c r="S17" s="306"/>
      <c r="T17" s="306"/>
      <c r="U17" s="299"/>
    </row>
    <row r="18" spans="2:29" ht="19.5" customHeight="1" thickBot="1">
      <c r="B18" s="321" t="s">
        <v>66</v>
      </c>
      <c r="C18" s="310" t="s">
        <v>75</v>
      </c>
      <c r="D18" s="311">
        <v>1.4</v>
      </c>
      <c r="E18" s="314" t="s">
        <v>213</v>
      </c>
      <c r="F18" s="311"/>
      <c r="G18" s="312"/>
      <c r="I18" s="338"/>
      <c r="J18" s="317" t="s">
        <v>80</v>
      </c>
      <c r="K18" s="339">
        <f>(2*K12)/(K15*K16)</f>
        <v>1.5094339622641511</v>
      </c>
      <c r="L18" s="319" t="s">
        <v>352</v>
      </c>
      <c r="M18" s="320"/>
      <c r="N18" s="312"/>
      <c r="P18" s="301"/>
      <c r="Q18" s="302"/>
      <c r="R18" s="297"/>
      <c r="S18" s="303" t="s">
        <v>351</v>
      </c>
      <c r="T18" s="297"/>
      <c r="U18" s="299"/>
    </row>
    <row r="19" spans="2:29" s="342" customFormat="1" ht="15.75" customHeight="1" thickBot="1">
      <c r="B19" s="321" t="s">
        <v>67</v>
      </c>
      <c r="C19" s="310" t="s">
        <v>77</v>
      </c>
      <c r="D19" s="340">
        <v>0.73</v>
      </c>
      <c r="E19" s="311" t="s">
        <v>0</v>
      </c>
      <c r="F19" s="311"/>
      <c r="G19" s="312"/>
      <c r="H19" s="300"/>
      <c r="I19" s="323"/>
      <c r="J19" s="311"/>
      <c r="K19" s="311"/>
      <c r="L19" s="311"/>
      <c r="M19" s="311"/>
      <c r="N19" s="312"/>
      <c r="O19" s="300"/>
      <c r="P19" s="305"/>
      <c r="Q19" s="306"/>
      <c r="R19" s="306"/>
      <c r="S19" s="297"/>
      <c r="T19" s="297"/>
      <c r="U19" s="307"/>
      <c r="V19" s="341"/>
      <c r="W19" s="341"/>
      <c r="X19" s="341"/>
      <c r="Y19" s="341"/>
      <c r="Z19" s="341"/>
      <c r="AA19" s="341"/>
      <c r="AB19" s="341"/>
      <c r="AC19" s="341"/>
    </row>
    <row r="20" spans="2:29" ht="16.8" thickBot="1">
      <c r="B20" s="321" t="s">
        <v>82</v>
      </c>
      <c r="C20" s="311" t="s">
        <v>79</v>
      </c>
      <c r="D20" s="331">
        <f>'HOGSTMASKIN (G0)'!D22</f>
        <v>65</v>
      </c>
      <c r="E20" s="311" t="s">
        <v>11</v>
      </c>
      <c r="F20" s="311"/>
      <c r="G20" s="312"/>
      <c r="I20" s="323"/>
      <c r="J20" s="317" t="s">
        <v>81</v>
      </c>
      <c r="K20" s="324">
        <f>((K18*100)*0.6)*($D$21/$D$20)</f>
        <v>18.113207547169814</v>
      </c>
      <c r="L20" s="325" t="s">
        <v>353</v>
      </c>
      <c r="M20" s="326"/>
      <c r="N20" s="312"/>
      <c r="P20" s="309" t="s">
        <v>45</v>
      </c>
      <c r="Q20" s="310" t="s">
        <v>96</v>
      </c>
      <c r="R20" s="322">
        <f>FORSIDE!M36</f>
        <v>4</v>
      </c>
      <c r="S20" s="311" t="s">
        <v>4</v>
      </c>
      <c r="T20" s="311"/>
      <c r="U20" s="312"/>
    </row>
    <row r="21" spans="2:29" s="342" customFormat="1" ht="18" customHeight="1" thickBot="1">
      <c r="B21" s="321" t="s">
        <v>73</v>
      </c>
      <c r="C21" s="311" t="s">
        <v>98</v>
      </c>
      <c r="D21" s="311">
        <f>'HOGSTMASKIN (G0)'!D26</f>
        <v>13</v>
      </c>
      <c r="E21" s="311" t="s">
        <v>15</v>
      </c>
      <c r="F21" s="311"/>
      <c r="G21" s="312"/>
      <c r="H21" s="300"/>
      <c r="I21" s="343"/>
      <c r="J21" s="344"/>
      <c r="K21" s="344"/>
      <c r="L21" s="344"/>
      <c r="M21" s="344"/>
      <c r="N21" s="345"/>
      <c r="O21" s="300"/>
      <c r="P21" s="313"/>
      <c r="Q21" s="310"/>
      <c r="R21" s="311"/>
      <c r="S21" s="314"/>
      <c r="T21" s="311"/>
      <c r="U21" s="312"/>
      <c r="V21" s="341"/>
      <c r="W21" s="341"/>
      <c r="X21" s="341"/>
      <c r="Y21" s="341"/>
      <c r="Z21" s="341"/>
      <c r="AA21" s="341"/>
      <c r="AB21" s="341"/>
      <c r="AC21" s="341"/>
    </row>
    <row r="22" spans="2:29" ht="19.5" customHeight="1" thickBot="1">
      <c r="B22" s="337" t="s">
        <v>3</v>
      </c>
      <c r="C22" s="311" t="s">
        <v>78</v>
      </c>
      <c r="D22" s="340">
        <v>5.7</v>
      </c>
      <c r="E22" s="314"/>
      <c r="F22" s="314"/>
      <c r="G22" s="312"/>
      <c r="I22" s="284"/>
      <c r="J22" s="284"/>
      <c r="K22" s="284"/>
      <c r="L22" s="284"/>
      <c r="M22" s="284"/>
      <c r="N22" s="284"/>
      <c r="P22" s="313"/>
      <c r="Q22" s="317" t="s">
        <v>80</v>
      </c>
      <c r="R22" s="318">
        <f>-0.1+0.1*R20</f>
        <v>0.30000000000000004</v>
      </c>
      <c r="S22" s="319" t="s">
        <v>352</v>
      </c>
      <c r="T22" s="320"/>
      <c r="U22" s="312"/>
    </row>
    <row r="23" spans="2:29" s="342" customFormat="1" ht="20.25" customHeight="1" thickBot="1">
      <c r="B23" s="337" t="s">
        <v>2</v>
      </c>
      <c r="C23" s="311" t="s">
        <v>78</v>
      </c>
      <c r="D23" s="340">
        <v>11.45</v>
      </c>
      <c r="E23" s="314"/>
      <c r="F23" s="314"/>
      <c r="G23" s="312"/>
      <c r="H23" s="300"/>
      <c r="I23" s="332" t="s">
        <v>355</v>
      </c>
      <c r="J23" s="346" t="s">
        <v>172</v>
      </c>
      <c r="K23" s="288"/>
      <c r="L23" s="288"/>
      <c r="M23" s="288"/>
      <c r="N23" s="289"/>
      <c r="O23" s="300"/>
      <c r="P23" s="323"/>
      <c r="Q23" s="311"/>
      <c r="R23" s="311"/>
      <c r="S23" s="311"/>
      <c r="T23" s="311"/>
      <c r="U23" s="312"/>
      <c r="V23" s="341"/>
      <c r="W23" s="341"/>
      <c r="X23" s="341"/>
      <c r="Y23" s="341"/>
      <c r="Z23" s="341"/>
      <c r="AA23" s="341"/>
      <c r="AB23" s="341"/>
      <c r="AC23" s="341"/>
    </row>
    <row r="24" spans="2:29" ht="16.8" thickBot="1">
      <c r="B24" s="313"/>
      <c r="C24" s="311"/>
      <c r="D24" s="311"/>
      <c r="E24" s="311"/>
      <c r="F24" s="311"/>
      <c r="G24" s="312"/>
      <c r="I24" s="296"/>
      <c r="J24" s="297"/>
      <c r="K24" s="298"/>
      <c r="L24" s="297"/>
      <c r="M24" s="297"/>
      <c r="N24" s="299"/>
      <c r="P24" s="323"/>
      <c r="Q24" s="317" t="s">
        <v>81</v>
      </c>
      <c r="R24" s="324">
        <f>((R22*100)*0.6)*($D$21/$D$20)</f>
        <v>3.6</v>
      </c>
      <c r="S24" s="325" t="s">
        <v>353</v>
      </c>
      <c r="T24" s="326"/>
      <c r="U24" s="312"/>
    </row>
    <row r="25" spans="2:29" s="342" customFormat="1" ht="18" customHeight="1" thickBot="1">
      <c r="B25" s="313"/>
      <c r="C25" s="317" t="s">
        <v>80</v>
      </c>
      <c r="D25" s="339">
        <f>D18*(D22+(D19*D21*10)+(D23*SQRT(D21*10)))/(D21*10)</f>
        <v>2.4893086203337824</v>
      </c>
      <c r="E25" s="319" t="s">
        <v>352</v>
      </c>
      <c r="F25" s="320"/>
      <c r="G25" s="312"/>
      <c r="H25" s="300"/>
      <c r="I25" s="296"/>
      <c r="J25" s="297"/>
      <c r="K25" s="298"/>
      <c r="L25" s="303" t="s">
        <v>351</v>
      </c>
      <c r="M25" s="297"/>
      <c r="N25" s="299"/>
      <c r="O25" s="300"/>
      <c r="P25" s="327"/>
      <c r="Q25" s="328"/>
      <c r="R25" s="329"/>
      <c r="S25" s="329"/>
      <c r="T25" s="329"/>
      <c r="U25" s="330"/>
      <c r="V25" s="341"/>
      <c r="W25" s="341"/>
      <c r="X25" s="341"/>
      <c r="Y25" s="341"/>
      <c r="Z25" s="341"/>
      <c r="AA25" s="341"/>
      <c r="AB25" s="341"/>
      <c r="AC25" s="341"/>
    </row>
    <row r="26" spans="2:29" ht="18.899999999999999" customHeight="1" thickBot="1">
      <c r="B26" s="323"/>
      <c r="C26" s="311"/>
      <c r="D26" s="311"/>
      <c r="E26" s="311"/>
      <c r="F26" s="311"/>
      <c r="G26" s="312"/>
      <c r="I26" s="308"/>
      <c r="J26" s="297"/>
      <c r="K26" s="297"/>
      <c r="L26" s="297"/>
      <c r="M26" s="297"/>
      <c r="N26" s="299"/>
      <c r="P26" s="341"/>
      <c r="Q26" s="341"/>
      <c r="R26" s="341"/>
      <c r="S26" s="341"/>
      <c r="T26" s="341"/>
      <c r="U26" s="341"/>
    </row>
    <row r="27" spans="2:29" s="342" customFormat="1" ht="18.899999999999999" customHeight="1" thickBot="1">
      <c r="B27" s="323"/>
      <c r="C27" s="317" t="s">
        <v>81</v>
      </c>
      <c r="D27" s="324">
        <f>((D25*100)*0.6)*($D$21/$D$20)</f>
        <v>29.871703444005391</v>
      </c>
      <c r="E27" s="325" t="s">
        <v>353</v>
      </c>
      <c r="F27" s="326"/>
      <c r="G27" s="312"/>
      <c r="H27" s="347"/>
      <c r="I27" s="308"/>
      <c r="J27" s="297"/>
      <c r="K27" s="297"/>
      <c r="L27" s="297"/>
      <c r="M27" s="297"/>
      <c r="N27" s="299"/>
      <c r="O27" s="347"/>
      <c r="P27" s="291" t="s">
        <v>356</v>
      </c>
      <c r="Q27" s="348" t="s">
        <v>30</v>
      </c>
      <c r="R27" s="334"/>
      <c r="S27" s="335"/>
      <c r="T27" s="335"/>
      <c r="U27" s="295"/>
      <c r="V27" s="341"/>
      <c r="W27" s="341"/>
      <c r="X27" s="341"/>
      <c r="Y27" s="341"/>
      <c r="Z27" s="341"/>
      <c r="AA27" s="341"/>
      <c r="AB27" s="341"/>
      <c r="AC27" s="341"/>
    </row>
    <row r="28" spans="2:29" ht="23.4" thickBot="1">
      <c r="B28" s="327"/>
      <c r="C28" s="329"/>
      <c r="D28" s="329"/>
      <c r="E28" s="329"/>
      <c r="F28" s="329"/>
      <c r="G28" s="349"/>
      <c r="I28" s="308"/>
      <c r="J28" s="297"/>
      <c r="K28" s="297"/>
      <c r="L28" s="297"/>
      <c r="M28" s="297"/>
      <c r="N28" s="299"/>
      <c r="P28" s="301"/>
      <c r="Q28" s="302"/>
      <c r="R28" s="297"/>
      <c r="S28" s="303" t="s">
        <v>351</v>
      </c>
      <c r="T28" s="297"/>
      <c r="U28" s="299"/>
    </row>
    <row r="29" spans="2:29" ht="15" thickBot="1">
      <c r="B29" s="350"/>
      <c r="C29" s="350"/>
      <c r="D29" s="350"/>
      <c r="E29" s="350"/>
      <c r="F29" s="350"/>
      <c r="G29" s="350"/>
      <c r="I29" s="321" t="s">
        <v>83</v>
      </c>
      <c r="J29" s="310" t="s">
        <v>84</v>
      </c>
      <c r="K29" s="322">
        <f>FORSIDE!M32</f>
        <v>0</v>
      </c>
      <c r="L29" s="314" t="s">
        <v>91</v>
      </c>
      <c r="M29" s="314"/>
      <c r="N29" s="312"/>
      <c r="P29" s="305"/>
      <c r="Q29" s="306"/>
      <c r="R29" s="306"/>
      <c r="S29" s="297"/>
      <c r="T29" s="297"/>
      <c r="U29" s="307"/>
    </row>
    <row r="30" spans="2:29" ht="15" thickBot="1">
      <c r="B30" s="284"/>
      <c r="C30" s="284"/>
      <c r="D30" s="284"/>
      <c r="E30" s="284"/>
      <c r="F30" s="284"/>
      <c r="G30" s="284"/>
      <c r="I30" s="321" t="s">
        <v>49</v>
      </c>
      <c r="J30" s="311" t="s">
        <v>86</v>
      </c>
      <c r="K30" s="351">
        <f>FORSIDE!M24</f>
        <v>2</v>
      </c>
      <c r="L30" s="352" t="s">
        <v>56</v>
      </c>
      <c r="M30" s="311"/>
      <c r="N30" s="312"/>
      <c r="P30" s="309" t="s">
        <v>50</v>
      </c>
      <c r="Q30" s="310" t="s">
        <v>89</v>
      </c>
      <c r="R30" s="311">
        <f>K16</f>
        <v>15</v>
      </c>
      <c r="S30" s="311" t="s">
        <v>16</v>
      </c>
      <c r="T30" s="311"/>
      <c r="U30" s="312"/>
    </row>
    <row r="31" spans="2:29" ht="15" thickBot="1">
      <c r="B31" s="284"/>
      <c r="C31" s="353"/>
      <c r="D31" s="284"/>
      <c r="E31" s="284"/>
      <c r="F31" s="284"/>
      <c r="G31" s="284"/>
      <c r="I31" s="321" t="s">
        <v>87</v>
      </c>
      <c r="J31" s="311" t="s">
        <v>88</v>
      </c>
      <c r="K31" s="351">
        <f>FORSIDE!M28</f>
        <v>1</v>
      </c>
      <c r="L31" s="314" t="s">
        <v>56</v>
      </c>
      <c r="M31" s="311"/>
      <c r="N31" s="312"/>
      <c r="P31" s="313"/>
      <c r="Q31" s="310"/>
      <c r="R31" s="311"/>
      <c r="S31" s="314"/>
      <c r="T31" s="311"/>
      <c r="U31" s="312"/>
    </row>
    <row r="32" spans="2:29" s="284" customFormat="1" ht="16.2">
      <c r="C32" s="354"/>
      <c r="H32" s="300"/>
      <c r="I32" s="321" t="s">
        <v>51</v>
      </c>
      <c r="J32" s="310" t="s">
        <v>85</v>
      </c>
      <c r="K32" s="311">
        <f>75-(8.2*K30)-(1.4*(K31*K31))</f>
        <v>57.2</v>
      </c>
      <c r="L32" s="311" t="s">
        <v>93</v>
      </c>
      <c r="M32" s="311"/>
      <c r="N32" s="312"/>
      <c r="O32" s="300"/>
      <c r="P32" s="313"/>
      <c r="Q32" s="317" t="s">
        <v>80</v>
      </c>
      <c r="R32" s="318">
        <f>1.5/R30</f>
        <v>0.1</v>
      </c>
      <c r="S32" s="319" t="s">
        <v>352</v>
      </c>
      <c r="T32" s="320"/>
      <c r="U32" s="312"/>
    </row>
    <row r="33" spans="8:21" s="284" customFormat="1" ht="14.4" thickBot="1">
      <c r="H33" s="300"/>
      <c r="I33" s="321" t="s">
        <v>50</v>
      </c>
      <c r="J33" s="311" t="s">
        <v>89</v>
      </c>
      <c r="K33" s="311">
        <f>K16</f>
        <v>15</v>
      </c>
      <c r="L33" s="311" t="s">
        <v>92</v>
      </c>
      <c r="M33" s="311"/>
      <c r="N33" s="312"/>
      <c r="O33" s="300"/>
      <c r="P33" s="323"/>
      <c r="Q33" s="311"/>
      <c r="R33" s="311"/>
      <c r="S33" s="311"/>
      <c r="T33" s="311"/>
      <c r="U33" s="312"/>
    </row>
    <row r="34" spans="8:21" s="284" customFormat="1" ht="16.8" thickBot="1">
      <c r="H34" s="300"/>
      <c r="I34" s="337"/>
      <c r="J34" s="311"/>
      <c r="K34" s="311"/>
      <c r="L34" s="311"/>
      <c r="M34" s="311"/>
      <c r="N34" s="312"/>
      <c r="O34" s="300"/>
      <c r="P34" s="323"/>
      <c r="Q34" s="317" t="s">
        <v>81</v>
      </c>
      <c r="R34" s="324">
        <f>((R32*100)*0.6)*($D$21/$D$20)</f>
        <v>1.2000000000000002</v>
      </c>
      <c r="S34" s="325" t="s">
        <v>353</v>
      </c>
      <c r="T34" s="326"/>
      <c r="U34" s="312"/>
    </row>
    <row r="35" spans="8:21" s="284" customFormat="1" ht="16.8" thickBot="1">
      <c r="H35" s="300"/>
      <c r="I35" s="338"/>
      <c r="J35" s="317" t="s">
        <v>80</v>
      </c>
      <c r="K35" s="339">
        <f>(2*K29)/(K32*K33)</f>
        <v>0</v>
      </c>
      <c r="L35" s="319" t="s">
        <v>352</v>
      </c>
      <c r="M35" s="320"/>
      <c r="N35" s="312"/>
      <c r="O35" s="300"/>
      <c r="P35" s="327"/>
      <c r="Q35" s="328"/>
      <c r="R35" s="329"/>
      <c r="S35" s="329"/>
      <c r="T35" s="329"/>
      <c r="U35" s="330"/>
    </row>
    <row r="36" spans="8:21" s="284" customFormat="1" ht="14.4" thickBot="1">
      <c r="I36" s="323"/>
      <c r="J36" s="311"/>
      <c r="K36" s="311"/>
      <c r="L36" s="311"/>
      <c r="M36" s="311"/>
      <c r="N36" s="312"/>
    </row>
    <row r="37" spans="8:21" s="284" customFormat="1" ht="16.8" thickBot="1">
      <c r="I37" s="323"/>
      <c r="J37" s="317" t="s">
        <v>81</v>
      </c>
      <c r="K37" s="324">
        <f>((K35*100)*0.6)*($D$21/$D$20)</f>
        <v>0</v>
      </c>
      <c r="L37" s="325" t="s">
        <v>353</v>
      </c>
      <c r="M37" s="326"/>
      <c r="N37" s="312"/>
    </row>
    <row r="38" spans="8:21" s="284" customFormat="1" ht="14.4" thickBot="1">
      <c r="I38" s="343"/>
      <c r="J38" s="344"/>
      <c r="K38" s="344"/>
      <c r="L38" s="344"/>
      <c r="M38" s="344"/>
      <c r="N38" s="345"/>
    </row>
    <row r="39" spans="8:21" s="284" customFormat="1"/>
    <row r="40" spans="8:21" s="284" customFormat="1"/>
    <row r="41" spans="8:21" s="284" customFormat="1"/>
    <row r="42" spans="8:21" s="284" customFormat="1"/>
    <row r="43" spans="8:21" s="284" customFormat="1"/>
    <row r="44" spans="8:21" s="284" customFormat="1"/>
    <row r="45" spans="8:21" s="284" customFormat="1"/>
    <row r="46" spans="8:21" s="284" customFormat="1"/>
    <row r="47" spans="8:21" s="284" customFormat="1"/>
    <row r="48" spans="8:21" s="284" customFormat="1"/>
    <row r="49" s="284" customFormat="1"/>
    <row r="50" s="284" customFormat="1"/>
    <row r="51" s="284" customFormat="1"/>
    <row r="52" s="284" customFormat="1"/>
    <row r="53" s="284" customFormat="1"/>
    <row r="54" s="284" customFormat="1"/>
    <row r="55" s="284" customFormat="1"/>
    <row r="56" s="284" customFormat="1"/>
    <row r="57" s="284" customFormat="1"/>
    <row r="58" s="284" customFormat="1"/>
    <row r="59" s="284" customFormat="1"/>
    <row r="60" s="284" customFormat="1"/>
    <row r="61" s="284" customFormat="1"/>
    <row r="62" s="284" customFormat="1"/>
    <row r="63" s="284" customFormat="1"/>
    <row r="64" s="284" customFormat="1"/>
    <row r="65" s="284" customFormat="1"/>
    <row r="66" s="284" customFormat="1"/>
    <row r="67" s="284" customFormat="1"/>
    <row r="68" s="284" customFormat="1"/>
    <row r="69" s="284" customFormat="1"/>
    <row r="70" s="284" customFormat="1"/>
    <row r="71" s="284" customFormat="1"/>
    <row r="72" s="284" customFormat="1"/>
    <row r="73" s="284" customFormat="1"/>
    <row r="74" s="284" customFormat="1"/>
    <row r="75" s="284" customFormat="1"/>
    <row r="76" s="284" customFormat="1"/>
    <row r="77" s="284" customFormat="1"/>
    <row r="78" s="284" customFormat="1"/>
    <row r="79" s="284" customFormat="1"/>
    <row r="80" s="284" customFormat="1"/>
    <row r="81" s="284" customFormat="1"/>
    <row r="82" s="284" customFormat="1"/>
    <row r="83" s="284" customFormat="1"/>
    <row r="84" s="284" customFormat="1"/>
    <row r="85" s="284" customFormat="1"/>
    <row r="86" s="284" customFormat="1"/>
    <row r="87" s="284" customFormat="1"/>
    <row r="88" s="284" customFormat="1"/>
    <row r="89" s="284" customFormat="1"/>
    <row r="90" s="284" customFormat="1"/>
    <row r="91" s="284" customFormat="1"/>
    <row r="92" s="284" customFormat="1"/>
    <row r="93" s="284" customFormat="1"/>
    <row r="94" s="284" customFormat="1"/>
    <row r="95" s="284" customFormat="1"/>
    <row r="96" s="284" customFormat="1"/>
    <row r="97" s="284" customFormat="1"/>
    <row r="98" s="284" customFormat="1"/>
    <row r="99" s="284" customFormat="1"/>
    <row r="100" s="284" customFormat="1"/>
    <row r="101" s="284" customFormat="1"/>
    <row r="102" s="284" customFormat="1"/>
    <row r="103" s="284" customFormat="1"/>
    <row r="104" s="284" customFormat="1"/>
    <row r="105" s="284" customFormat="1"/>
    <row r="106" s="284" customFormat="1"/>
    <row r="107" s="284" customFormat="1"/>
    <row r="108" s="284" customFormat="1"/>
    <row r="109" s="284" customFormat="1"/>
    <row r="110" s="284" customFormat="1"/>
    <row r="111" s="284" customFormat="1"/>
    <row r="112" s="284" customFormat="1"/>
    <row r="113" s="284" customFormat="1"/>
    <row r="114" s="284" customFormat="1"/>
    <row r="115" s="284" customFormat="1"/>
    <row r="116" s="284" customFormat="1"/>
    <row r="117" s="284" customFormat="1"/>
    <row r="118" s="284" customFormat="1"/>
    <row r="119" s="284" customFormat="1"/>
    <row r="120" s="284" customFormat="1"/>
    <row r="121" s="284" customFormat="1"/>
    <row r="122" s="284" customFormat="1"/>
    <row r="123" s="284" customFormat="1"/>
    <row r="124" s="284" customFormat="1"/>
    <row r="125" s="284" customFormat="1"/>
    <row r="126" s="284" customFormat="1"/>
  </sheetData>
  <sheetProtection insertHyperlinks="0" selectLockedCells="1"/>
  <mergeCells count="2">
    <mergeCell ref="D16:E16"/>
    <mergeCell ref="J6:N6"/>
  </mergeCells>
  <hyperlinks>
    <hyperlink ref="L30" location="Hjelpetabeller!A1" display=" klasse fra tabell" xr:uid="{00000000-0004-0000-0500-000000000000}"/>
  </hyperlinks>
  <pageMargins left="0.25" right="0.25" top="0.75" bottom="0.75" header="0.3" footer="0.3"/>
  <pageSetup paperSize="9" scale="5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500-000000000000}">
          <x14:formula1>
            <xm:f>HJELPETABELLER!$B$7:$B$11</xm:f>
          </x14:formula1>
          <xm:sqref>K30</xm:sqref>
        </x14:dataValidation>
        <x14:dataValidation type="list" allowBlank="1" showInputMessage="1" showErrorMessage="1" xr:uid="{00000000-0002-0000-0500-000001000000}">
          <x14:formula1>
            <xm:f>HJELPETABELLER!$K$15:$K$16</xm:f>
          </x14:formula1>
          <xm:sqref>D23</xm:sqref>
        </x14:dataValidation>
        <x14:dataValidation type="list" allowBlank="1" showInputMessage="1" showErrorMessage="1" xr:uid="{00000000-0002-0000-0500-000002000000}">
          <x14:formula1>
            <xm:f>HJELPETABELLER!$F$15:$F$20</xm:f>
          </x14:formula1>
          <xm:sqref>D19</xm:sqref>
        </x14:dataValidation>
        <x14:dataValidation type="list" allowBlank="1" showInputMessage="1" showErrorMessage="1" xr:uid="{00000000-0002-0000-0500-000003000000}">
          <x14:formula1>
            <xm:f>HJELPETABELLER!$J$15:$J$16</xm:f>
          </x14:formula1>
          <xm:sqref>D22</xm:sqref>
        </x14:dataValidation>
        <x14:dataValidation type="list" allowBlank="1" showInputMessage="1" showErrorMessage="1" xr:uid="{00000000-0002-0000-0500-000004000000}">
          <x14:formula1>
            <xm:f>HJELPETABELLER!$F$7:$F$11</xm:f>
          </x14:formula1>
          <xm:sqref>K31</xm:sqref>
        </x14:dataValidation>
        <x14:dataValidation type="list" allowBlank="1" showInputMessage="1" showErrorMessage="1" xr:uid="{00000000-0002-0000-0500-000005000000}">
          <x14:formula1>
            <xm:f>HJELPETABELLER!#REF!</xm:f>
          </x14:formula1>
          <xm:sqref>D16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sHjelp">
    <pageSetUpPr fitToPage="1"/>
  </sheetPr>
  <dimension ref="A1:AD63"/>
  <sheetViews>
    <sheetView topLeftCell="A10" workbookViewId="0"/>
  </sheetViews>
  <sheetFormatPr baseColWidth="10" defaultColWidth="11.3984375" defaultRowHeight="13.8"/>
  <cols>
    <col min="1" max="1" width="1.59765625" style="20" customWidth="1"/>
    <col min="2" max="2" width="21.8984375" customWidth="1"/>
    <col min="3" max="3" width="20.59765625" customWidth="1"/>
    <col min="4" max="4" width="19.59765625" style="20" customWidth="1"/>
    <col min="5" max="5" width="20.59765625" style="20" customWidth="1"/>
    <col min="6" max="6" width="22.8984375" customWidth="1"/>
    <col min="7" max="7" width="11.59765625" style="34" customWidth="1"/>
    <col min="8" max="8" width="5.09765625" style="20" customWidth="1"/>
    <col min="9" max="9" width="17.09765625" style="12" customWidth="1"/>
    <col min="10" max="11" width="10.59765625" style="12" customWidth="1"/>
    <col min="12" max="12" width="42.09765625" style="20" customWidth="1"/>
  </cols>
  <sheetData>
    <row r="1" spans="1:30" s="177" customFormat="1" ht="12" customHeight="1"/>
    <row r="2" spans="1:30" s="177" customFormat="1" ht="12" customHeight="1"/>
    <row r="3" spans="1:30" s="177" customFormat="1" ht="12" customHeight="1"/>
    <row r="4" spans="1:30" s="20" customFormat="1" ht="42" customHeight="1">
      <c r="A4" s="72"/>
      <c r="B4" s="187" t="s">
        <v>209</v>
      </c>
      <c r="C4" s="72"/>
      <c r="D4" s="72"/>
      <c r="E4" s="72"/>
      <c r="F4" s="72"/>
      <c r="G4" s="72"/>
      <c r="H4" s="72"/>
      <c r="I4" s="72"/>
      <c r="J4" s="72"/>
      <c r="X4"/>
      <c r="Y4"/>
      <c r="Z4"/>
      <c r="AA4"/>
      <c r="AB4"/>
      <c r="AC4"/>
      <c r="AD4"/>
    </row>
    <row r="5" spans="1:30" s="20" customFormat="1" ht="14.4" thickBot="1">
      <c r="G5" s="158"/>
      <c r="I5" s="159"/>
      <c r="J5" s="159"/>
      <c r="K5" s="159"/>
    </row>
    <row r="6" spans="1:30" ht="28.2" thickBot="1">
      <c r="B6" s="36" t="s">
        <v>17</v>
      </c>
      <c r="C6" t="s">
        <v>166</v>
      </c>
      <c r="F6" s="37" t="s">
        <v>18</v>
      </c>
      <c r="G6" s="34" t="s">
        <v>24</v>
      </c>
      <c r="I6" s="36" t="s">
        <v>37</v>
      </c>
      <c r="J6" s="53" t="s">
        <v>36</v>
      </c>
      <c r="K6" s="55" t="s">
        <v>38</v>
      </c>
    </row>
    <row r="7" spans="1:30">
      <c r="B7">
        <v>1</v>
      </c>
      <c r="C7" s="33" t="s">
        <v>164</v>
      </c>
      <c r="D7" s="164"/>
      <c r="F7">
        <v>1</v>
      </c>
      <c r="G7" s="35" t="s">
        <v>19</v>
      </c>
      <c r="I7" s="12">
        <v>0.5</v>
      </c>
      <c r="J7" s="54">
        <f t="shared" ref="J7:J9" si="0">I7*100/60</f>
        <v>0.83333333333333337</v>
      </c>
      <c r="K7" s="56" t="s">
        <v>31</v>
      </c>
    </row>
    <row r="8" spans="1:30">
      <c r="B8">
        <v>2</v>
      </c>
      <c r="C8" s="33" t="s">
        <v>165</v>
      </c>
      <c r="D8" s="164"/>
      <c r="F8">
        <v>2</v>
      </c>
      <c r="G8" s="35" t="s">
        <v>20</v>
      </c>
      <c r="I8" s="12">
        <v>0.7</v>
      </c>
      <c r="J8" s="54">
        <f t="shared" si="0"/>
        <v>1.1666666666666667</v>
      </c>
      <c r="K8" s="54" t="s">
        <v>32</v>
      </c>
    </row>
    <row r="9" spans="1:30" ht="14.4" thickBot="1">
      <c r="B9">
        <v>3</v>
      </c>
      <c r="C9" s="33" t="s">
        <v>163</v>
      </c>
      <c r="D9" s="164"/>
      <c r="F9">
        <v>3</v>
      </c>
      <c r="G9" s="35" t="s">
        <v>21</v>
      </c>
      <c r="I9" s="12">
        <v>0.9</v>
      </c>
      <c r="J9" s="54">
        <f t="shared" si="0"/>
        <v>1.5</v>
      </c>
      <c r="K9" s="57" t="s">
        <v>33</v>
      </c>
    </row>
    <row r="10" spans="1:30">
      <c r="B10">
        <v>4</v>
      </c>
      <c r="C10" s="33" t="s">
        <v>162</v>
      </c>
      <c r="D10" s="164"/>
      <c r="F10">
        <v>4</v>
      </c>
      <c r="G10" s="35" t="s">
        <v>22</v>
      </c>
      <c r="I10" s="159"/>
      <c r="J10" s="159"/>
      <c r="K10" s="159"/>
    </row>
    <row r="11" spans="1:30">
      <c r="B11">
        <v>5</v>
      </c>
      <c r="C11" s="33" t="s">
        <v>359</v>
      </c>
      <c r="D11" s="164"/>
      <c r="F11">
        <v>5</v>
      </c>
      <c r="G11" s="35" t="s">
        <v>23</v>
      </c>
      <c r="I11" s="159"/>
      <c r="J11" s="159"/>
      <c r="K11" s="159"/>
    </row>
    <row r="12" spans="1:30" s="20" customFormat="1">
      <c r="G12" s="158"/>
      <c r="I12" s="159"/>
      <c r="J12" s="159"/>
      <c r="K12" s="159"/>
    </row>
    <row r="13" spans="1:30">
      <c r="B13" s="1" t="s">
        <v>170</v>
      </c>
      <c r="C13" s="1"/>
      <c r="F13" s="20"/>
      <c r="G13" s="158"/>
      <c r="I13" s="159"/>
      <c r="J13" s="159"/>
      <c r="K13" s="159"/>
    </row>
    <row r="14" spans="1:30" ht="33.75" customHeight="1">
      <c r="B14" s="130"/>
      <c r="F14" s="74" t="s">
        <v>68</v>
      </c>
      <c r="G14" s="53" t="s">
        <v>74</v>
      </c>
      <c r="I14" s="36" t="s">
        <v>76</v>
      </c>
      <c r="J14" s="80" t="s">
        <v>3</v>
      </c>
      <c r="K14" s="80" t="s">
        <v>2</v>
      </c>
    </row>
    <row r="15" spans="1:30" ht="14.4" customHeight="1">
      <c r="B15" s="131"/>
      <c r="F15">
        <v>1.04</v>
      </c>
      <c r="G15" s="35" t="s">
        <v>69</v>
      </c>
      <c r="I15" s="12" t="s">
        <v>71</v>
      </c>
      <c r="J15" s="54">
        <v>5.7</v>
      </c>
      <c r="K15" s="56">
        <v>11.45</v>
      </c>
    </row>
    <row r="16" spans="1:30">
      <c r="B16" s="131"/>
      <c r="F16">
        <v>0.86</v>
      </c>
      <c r="G16" s="35" t="s">
        <v>32</v>
      </c>
      <c r="I16" s="12" t="s">
        <v>72</v>
      </c>
      <c r="J16" s="54">
        <v>-43</v>
      </c>
      <c r="K16" s="54">
        <v>25.9</v>
      </c>
    </row>
    <row r="17" spans="1:12">
      <c r="B17" s="131"/>
      <c r="F17" s="75">
        <v>0.73</v>
      </c>
      <c r="G17" s="76" t="s">
        <v>70</v>
      </c>
      <c r="I17" s="159"/>
      <c r="J17" s="159"/>
      <c r="K17" s="159"/>
    </row>
    <row r="18" spans="1:12">
      <c r="B18" s="131"/>
      <c r="F18" s="77">
        <v>1.18</v>
      </c>
      <c r="G18" s="78" t="s">
        <v>69</v>
      </c>
      <c r="I18" s="159"/>
      <c r="J18" s="159"/>
      <c r="K18" s="159"/>
    </row>
    <row r="19" spans="1:12">
      <c r="F19">
        <v>0.67</v>
      </c>
      <c r="G19" s="35" t="s">
        <v>32</v>
      </c>
      <c r="I19" s="159"/>
      <c r="J19" s="159"/>
      <c r="K19" s="159"/>
    </row>
    <row r="20" spans="1:12" ht="14.4" thickBot="1">
      <c r="B20" s="132"/>
      <c r="F20" s="3">
        <v>0.67</v>
      </c>
      <c r="G20" s="79" t="s">
        <v>70</v>
      </c>
      <c r="I20" s="159"/>
      <c r="J20" s="159"/>
      <c r="K20" s="159"/>
    </row>
    <row r="21" spans="1:12">
      <c r="B21" s="133"/>
      <c r="F21" s="20"/>
      <c r="G21" s="158"/>
      <c r="I21" s="159"/>
      <c r="J21" s="159"/>
      <c r="K21" s="159"/>
    </row>
    <row r="22" spans="1:12">
      <c r="F22" s="20"/>
      <c r="G22" s="158"/>
      <c r="I22" s="159"/>
      <c r="J22" s="159"/>
      <c r="K22" s="159"/>
    </row>
    <row r="23" spans="1:12">
      <c r="F23" s="165"/>
      <c r="G23" s="20"/>
      <c r="I23" s="20"/>
      <c r="J23" s="159"/>
      <c r="K23" s="159"/>
    </row>
    <row r="24" spans="1:12" ht="34.35" customHeight="1">
      <c r="B24" s="20"/>
      <c r="C24" s="20"/>
      <c r="F24" s="20"/>
      <c r="G24" s="20"/>
      <c r="I24" s="20"/>
      <c r="J24" s="159"/>
      <c r="K24" s="159"/>
    </row>
    <row r="25" spans="1:12" s="11" customFormat="1" ht="26.4" customHeight="1">
      <c r="A25" s="73"/>
      <c r="B25" s="73"/>
      <c r="C25" s="73"/>
      <c r="D25" s="73"/>
      <c r="E25" s="73"/>
      <c r="F25" s="73"/>
      <c r="G25" s="73"/>
      <c r="H25" s="73"/>
      <c r="I25" s="73"/>
      <c r="J25" s="73"/>
      <c r="K25" s="169"/>
      <c r="L25" s="73"/>
    </row>
    <row r="26" spans="1:12" s="11" customFormat="1" ht="26.4" customHeight="1">
      <c r="A26" s="73"/>
      <c r="B26" s="73"/>
      <c r="C26" s="73"/>
      <c r="D26" s="73"/>
      <c r="E26" s="73"/>
      <c r="F26" s="73"/>
      <c r="G26" s="73"/>
      <c r="H26" s="73"/>
      <c r="I26" s="73"/>
      <c r="J26" s="169"/>
      <c r="K26" s="169"/>
      <c r="L26" s="73"/>
    </row>
    <row r="27" spans="1:12">
      <c r="B27" s="20"/>
      <c r="C27" s="20"/>
      <c r="F27" s="20"/>
      <c r="G27" s="20"/>
      <c r="I27" s="20"/>
      <c r="J27" s="159"/>
      <c r="K27" s="159"/>
    </row>
    <row r="28" spans="1:12">
      <c r="B28" s="20"/>
      <c r="C28" s="20"/>
      <c r="F28" s="20"/>
      <c r="G28" s="20"/>
      <c r="I28" s="20"/>
      <c r="J28" s="159"/>
      <c r="K28" s="159"/>
    </row>
    <row r="29" spans="1:12">
      <c r="B29" s="20"/>
      <c r="C29" s="20"/>
      <c r="F29" s="20"/>
      <c r="G29" s="20"/>
      <c r="I29" s="20"/>
      <c r="J29" s="159"/>
      <c r="K29" s="159"/>
    </row>
    <row r="30" spans="1:12">
      <c r="B30" s="20"/>
      <c r="C30" s="20"/>
      <c r="F30" s="20"/>
      <c r="G30" s="20"/>
      <c r="I30" s="20"/>
      <c r="J30" s="159"/>
      <c r="K30" s="159"/>
    </row>
    <row r="31" spans="1:12" ht="25.65" customHeight="1">
      <c r="B31" s="160"/>
      <c r="C31" s="20"/>
      <c r="F31" s="20"/>
      <c r="G31" s="20"/>
      <c r="I31" s="20"/>
      <c r="J31" s="159"/>
      <c r="K31" s="159"/>
    </row>
    <row r="32" spans="1:12">
      <c r="B32" s="20"/>
      <c r="C32" s="20"/>
      <c r="F32" s="20"/>
      <c r="G32" s="20"/>
      <c r="I32" s="20"/>
      <c r="J32" s="159"/>
      <c r="K32" s="159"/>
    </row>
    <row r="33" spans="2:9">
      <c r="B33" s="20"/>
      <c r="C33" s="20"/>
      <c r="F33" s="20"/>
      <c r="G33" s="20"/>
      <c r="I33"/>
    </row>
    <row r="34" spans="2:9">
      <c r="B34" s="20"/>
      <c r="C34" s="20"/>
      <c r="F34" s="20"/>
      <c r="G34" s="20"/>
      <c r="I34"/>
    </row>
    <row r="35" spans="2:9">
      <c r="B35" s="20"/>
      <c r="C35" s="20"/>
      <c r="F35" s="20"/>
      <c r="G35" s="20"/>
      <c r="I35"/>
    </row>
    <row r="36" spans="2:9">
      <c r="G36"/>
      <c r="I36"/>
    </row>
    <row r="37" spans="2:9">
      <c r="G37"/>
      <c r="I37"/>
    </row>
    <row r="38" spans="2:9">
      <c r="G38"/>
      <c r="I38"/>
    </row>
    <row r="39" spans="2:9">
      <c r="G39"/>
      <c r="I39"/>
    </row>
    <row r="40" spans="2:9">
      <c r="G40"/>
      <c r="I40"/>
    </row>
    <row r="41" spans="2:9">
      <c r="G41"/>
      <c r="I41"/>
    </row>
    <row r="57" spans="2:5" ht="14.4" thickBot="1"/>
    <row r="58" spans="2:5">
      <c r="B58" s="156" t="s">
        <v>115</v>
      </c>
      <c r="C58" s="157" t="s">
        <v>117</v>
      </c>
      <c r="D58" s="166" t="s">
        <v>119</v>
      </c>
      <c r="E58" s="161" t="s">
        <v>121</v>
      </c>
    </row>
    <row r="59" spans="2:5">
      <c r="B59" s="153"/>
      <c r="C59" s="151" t="s">
        <v>145</v>
      </c>
      <c r="D59" s="167" t="s">
        <v>145</v>
      </c>
      <c r="E59" s="162" t="s">
        <v>145</v>
      </c>
    </row>
    <row r="60" spans="2:5">
      <c r="B60" s="154" t="s">
        <v>135</v>
      </c>
      <c r="C60" s="152" t="s">
        <v>135</v>
      </c>
      <c r="D60" s="168" t="s">
        <v>135</v>
      </c>
      <c r="E60" s="163" t="s">
        <v>135</v>
      </c>
    </row>
    <row r="61" spans="2:5">
      <c r="B61" s="154" t="s">
        <v>141</v>
      </c>
      <c r="C61" s="152" t="s">
        <v>141</v>
      </c>
      <c r="D61" s="168" t="s">
        <v>141</v>
      </c>
      <c r="E61" s="163" t="s">
        <v>141</v>
      </c>
    </row>
    <row r="62" spans="2:5">
      <c r="B62" s="154" t="s">
        <v>129</v>
      </c>
      <c r="C62" s="556"/>
      <c r="D62" s="557"/>
      <c r="E62" s="558"/>
    </row>
    <row r="63" spans="2:5" ht="14.4" thickBot="1">
      <c r="B63" s="155" t="s">
        <v>126</v>
      </c>
      <c r="C63" s="559"/>
      <c r="D63" s="560"/>
      <c r="E63" s="561"/>
    </row>
  </sheetData>
  <sheetProtection insertHyperlinks="0" selectLockedCells="1"/>
  <mergeCells count="1">
    <mergeCell ref="C62:E63"/>
  </mergeCells>
  <pageMargins left="0.25" right="0.25" top="0.75" bottom="0.75" header="0.3" footer="0.3"/>
  <pageSetup paperSize="8" fitToWidth="0" orientation="landscape" r:id="rId1"/>
  <ignoredErrors>
    <ignoredError sqref="J15:J16" calculatedColumn="1"/>
  </ignoredErrors>
  <tableParts count="5">
    <tablePart r:id="rId2"/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wsHjelp2"/>
  <dimension ref="A1:S45"/>
  <sheetViews>
    <sheetView workbookViewId="0"/>
  </sheetViews>
  <sheetFormatPr baseColWidth="10" defaultColWidth="0" defaultRowHeight="13.8" zeroHeight="1"/>
  <cols>
    <col min="1" max="1" width="1.59765625" customWidth="1"/>
    <col min="2" max="2" width="3.8984375" customWidth="1"/>
    <col min="3" max="3" width="12.59765625" customWidth="1"/>
    <col min="4" max="4" width="15.3984375" customWidth="1"/>
    <col min="5" max="5" width="18.3984375" customWidth="1"/>
    <col min="6" max="6" width="16.3984375" customWidth="1"/>
    <col min="7" max="7" width="7.8984375" customWidth="1"/>
    <col min="8" max="12" width="11.3984375" customWidth="1"/>
    <col min="13" max="13" width="17" customWidth="1"/>
    <col min="14" max="14" width="4.8984375" customWidth="1"/>
    <col min="15" max="19" width="9" style="20" hidden="1"/>
    <col min="20" max="16384" width="11.09765625" hidden="1"/>
  </cols>
  <sheetData>
    <row r="1" spans="1:14" ht="12" customHeigh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</row>
    <row r="2" spans="1:14" ht="12" customHeight="1">
      <c r="A2" s="20"/>
      <c r="B2" s="20"/>
      <c r="C2" s="375"/>
      <c r="D2" s="376"/>
      <c r="E2" s="376"/>
      <c r="F2" s="20"/>
      <c r="G2" s="376"/>
      <c r="H2" s="20"/>
      <c r="I2" s="20"/>
      <c r="J2" s="20"/>
      <c r="K2" s="20"/>
      <c r="L2" s="20"/>
      <c r="M2" s="20"/>
      <c r="N2" s="20"/>
    </row>
    <row r="3" spans="1:14" ht="12" customHeight="1">
      <c r="A3" s="20"/>
      <c r="B3" s="20"/>
      <c r="C3" s="375"/>
      <c r="D3" s="376"/>
      <c r="E3" s="376"/>
      <c r="F3" s="20"/>
      <c r="G3" s="376"/>
      <c r="H3" s="20"/>
      <c r="I3" s="20"/>
      <c r="J3" s="20"/>
      <c r="K3" s="20"/>
      <c r="L3" s="20"/>
      <c r="M3" s="20"/>
      <c r="N3" s="20"/>
    </row>
    <row r="4" spans="1:14" ht="12" customHeight="1">
      <c r="A4" s="20"/>
      <c r="B4" s="20"/>
      <c r="C4" s="375"/>
      <c r="D4" s="376"/>
      <c r="E4" s="376"/>
      <c r="F4" s="20"/>
      <c r="G4" s="376"/>
      <c r="H4" s="20"/>
      <c r="I4" s="20"/>
      <c r="J4" s="20"/>
      <c r="K4" s="20"/>
      <c r="L4" s="20"/>
      <c r="M4" s="20"/>
      <c r="N4" s="20"/>
    </row>
    <row r="5" spans="1:14" ht="24" customHeight="1">
      <c r="A5" s="20"/>
      <c r="B5" s="20"/>
      <c r="C5" s="20"/>
      <c r="D5" s="374"/>
      <c r="E5" s="374"/>
      <c r="F5" s="374"/>
      <c r="G5" s="20"/>
      <c r="H5" s="358"/>
      <c r="I5" s="572" t="s">
        <v>138</v>
      </c>
      <c r="J5" s="572"/>
      <c r="K5" s="359"/>
      <c r="L5" s="393" t="s">
        <v>139</v>
      </c>
      <c r="M5" s="361"/>
      <c r="N5" s="20"/>
    </row>
    <row r="6" spans="1:14">
      <c r="A6" s="20"/>
      <c r="B6" s="20"/>
      <c r="C6" s="374"/>
      <c r="D6" s="374"/>
      <c r="E6" s="374"/>
      <c r="F6" s="374"/>
      <c r="G6" s="20"/>
      <c r="H6" s="360" t="s">
        <v>115</v>
      </c>
      <c r="I6" s="360" t="s">
        <v>117</v>
      </c>
      <c r="J6" s="360" t="s">
        <v>119</v>
      </c>
      <c r="K6" s="360" t="s">
        <v>121</v>
      </c>
      <c r="L6" s="394" t="s">
        <v>140</v>
      </c>
      <c r="M6" s="362"/>
      <c r="N6" s="20"/>
    </row>
    <row r="7" spans="1:14" ht="15" customHeight="1">
      <c r="A7" s="20"/>
      <c r="B7" s="20"/>
      <c r="C7" s="563" t="s">
        <v>369</v>
      </c>
      <c r="D7" s="564"/>
      <c r="E7" s="564"/>
      <c r="F7" s="565"/>
      <c r="G7" s="20"/>
      <c r="H7" s="367" t="s">
        <v>141</v>
      </c>
      <c r="I7" s="138"/>
      <c r="J7" s="139" t="s">
        <v>135</v>
      </c>
      <c r="K7" s="136"/>
      <c r="L7" s="363" t="s">
        <v>142</v>
      </c>
      <c r="M7" s="364"/>
      <c r="N7" s="20"/>
    </row>
    <row r="8" spans="1:14">
      <c r="A8" s="20"/>
      <c r="B8" s="20"/>
      <c r="C8" s="566"/>
      <c r="D8" s="567"/>
      <c r="E8" s="567"/>
      <c r="F8" s="568"/>
      <c r="G8" s="20"/>
      <c r="H8" s="368"/>
      <c r="I8" s="140"/>
      <c r="J8" s="141"/>
      <c r="K8" s="137"/>
      <c r="L8" s="370" t="s">
        <v>143</v>
      </c>
      <c r="M8" s="371"/>
      <c r="N8" s="20"/>
    </row>
    <row r="9" spans="1:14">
      <c r="A9" s="20"/>
      <c r="B9" s="20"/>
      <c r="C9" s="566"/>
      <c r="D9" s="567"/>
      <c r="E9" s="567"/>
      <c r="F9" s="568"/>
      <c r="G9" s="20"/>
      <c r="H9" s="367" t="s">
        <v>144</v>
      </c>
      <c r="I9" s="142"/>
      <c r="J9" s="134" t="s">
        <v>145</v>
      </c>
      <c r="K9" s="135"/>
      <c r="L9" s="365"/>
      <c r="M9" s="366"/>
      <c r="N9" s="20"/>
    </row>
    <row r="10" spans="1:14">
      <c r="A10" s="20"/>
      <c r="B10" s="20"/>
      <c r="C10" s="566"/>
      <c r="D10" s="567"/>
      <c r="E10" s="567"/>
      <c r="F10" s="568"/>
      <c r="G10" s="20"/>
      <c r="H10" s="368"/>
      <c r="I10" s="143" t="s">
        <v>141</v>
      </c>
      <c r="J10" s="144" t="s">
        <v>135</v>
      </c>
      <c r="K10" s="145"/>
      <c r="L10" s="363" t="s">
        <v>146</v>
      </c>
      <c r="M10" s="364"/>
      <c r="N10" s="20"/>
    </row>
    <row r="11" spans="1:14">
      <c r="A11" s="20"/>
      <c r="B11" s="20"/>
      <c r="C11" s="566"/>
      <c r="D11" s="567"/>
      <c r="E11" s="567"/>
      <c r="F11" s="568"/>
      <c r="G11" s="20"/>
      <c r="H11" s="367"/>
      <c r="I11" s="142"/>
      <c r="J11" s="134" t="s">
        <v>135</v>
      </c>
      <c r="K11" s="135"/>
      <c r="L11" s="365"/>
      <c r="M11" s="366"/>
      <c r="N11" s="20"/>
    </row>
    <row r="12" spans="1:14">
      <c r="A12" s="20"/>
      <c r="B12" s="20"/>
      <c r="C12" s="566"/>
      <c r="D12" s="567"/>
      <c r="E12" s="567"/>
      <c r="F12" s="568"/>
      <c r="G12" s="20"/>
      <c r="H12" s="369" t="s">
        <v>147</v>
      </c>
      <c r="I12" s="146"/>
      <c r="J12" s="146"/>
      <c r="K12" s="146"/>
      <c r="L12" s="363" t="s">
        <v>148</v>
      </c>
      <c r="M12" s="364"/>
      <c r="N12" s="20"/>
    </row>
    <row r="13" spans="1:14">
      <c r="A13" s="20"/>
      <c r="B13" s="20"/>
      <c r="C13" s="569"/>
      <c r="D13" s="570"/>
      <c r="E13" s="570"/>
      <c r="F13" s="571"/>
      <c r="G13" s="20"/>
      <c r="H13" s="369" t="s">
        <v>149</v>
      </c>
      <c r="I13" s="147" t="s">
        <v>144</v>
      </c>
      <c r="J13" s="147" t="s">
        <v>141</v>
      </c>
      <c r="K13" s="148" t="s">
        <v>135</v>
      </c>
      <c r="L13" s="365" t="s">
        <v>143</v>
      </c>
      <c r="M13" s="366"/>
      <c r="N13" s="20"/>
    </row>
    <row r="14" spans="1:14" ht="18" customHeight="1">
      <c r="A14" s="20"/>
      <c r="B14" s="20"/>
      <c r="C14" s="20"/>
      <c r="D14" s="160"/>
      <c r="E14" s="374"/>
      <c r="F14" s="374"/>
      <c r="G14" s="20"/>
      <c r="H14" s="368"/>
      <c r="I14" s="148"/>
      <c r="J14" s="148"/>
      <c r="K14" s="149" t="s">
        <v>141</v>
      </c>
      <c r="L14" s="356" t="s">
        <v>150</v>
      </c>
      <c r="M14" s="357"/>
      <c r="N14" s="20"/>
    </row>
    <row r="15" spans="1:14" ht="20.25" customHeight="1">
      <c r="A15" s="20"/>
      <c r="B15" s="20"/>
      <c r="C15" s="562" t="s">
        <v>122</v>
      </c>
      <c r="D15" s="372" t="s">
        <v>123</v>
      </c>
      <c r="E15" s="373" t="s">
        <v>124</v>
      </c>
      <c r="F15" s="373" t="s">
        <v>125</v>
      </c>
      <c r="G15" s="20"/>
      <c r="H15" s="149" t="s">
        <v>151</v>
      </c>
      <c r="I15" s="134"/>
      <c r="J15" s="134"/>
      <c r="K15" s="135"/>
      <c r="L15" s="365" t="s">
        <v>361</v>
      </c>
      <c r="M15" s="366"/>
      <c r="N15" s="20"/>
    </row>
    <row r="16" spans="1:14" ht="21.75" customHeight="1">
      <c r="A16" s="20"/>
      <c r="B16" s="20"/>
      <c r="C16" s="562"/>
      <c r="D16" s="168" t="s">
        <v>126</v>
      </c>
      <c r="E16" s="355" t="s">
        <v>127</v>
      </c>
      <c r="F16" s="355" t="s">
        <v>128</v>
      </c>
      <c r="G16" s="20"/>
      <c r="H16" s="20"/>
      <c r="I16" s="20"/>
      <c r="J16" s="20"/>
      <c r="K16" s="20"/>
      <c r="L16" s="20"/>
      <c r="M16" s="20"/>
      <c r="N16" s="20"/>
    </row>
    <row r="17" spans="1:14">
      <c r="A17" s="20"/>
      <c r="B17" s="20"/>
      <c r="C17" s="562"/>
      <c r="D17" s="168" t="s">
        <v>129</v>
      </c>
      <c r="E17" s="355" t="s">
        <v>130</v>
      </c>
      <c r="F17" s="355" t="s">
        <v>131</v>
      </c>
      <c r="G17" s="20"/>
      <c r="H17" s="20"/>
      <c r="I17" s="20"/>
      <c r="J17" s="20"/>
      <c r="K17" s="20"/>
      <c r="L17" s="20"/>
      <c r="M17" s="20"/>
      <c r="N17" s="20"/>
    </row>
    <row r="18" spans="1:14">
      <c r="A18" s="20"/>
      <c r="B18" s="20"/>
      <c r="C18" s="562"/>
      <c r="D18" s="168" t="s">
        <v>132</v>
      </c>
      <c r="E18" s="355" t="s">
        <v>133</v>
      </c>
      <c r="F18" s="355" t="s">
        <v>134</v>
      </c>
      <c r="G18" s="20"/>
      <c r="H18" s="20"/>
      <c r="I18" s="20"/>
      <c r="J18" s="20"/>
      <c r="K18" s="20"/>
      <c r="L18" s="20"/>
      <c r="M18" s="20"/>
      <c r="N18" s="20"/>
    </row>
    <row r="19" spans="1:14">
      <c r="A19" s="20"/>
      <c r="B19" s="20"/>
      <c r="C19" s="562"/>
      <c r="D19" s="168" t="s">
        <v>135</v>
      </c>
      <c r="E19" s="355" t="s">
        <v>136</v>
      </c>
      <c r="F19" s="355" t="s">
        <v>137</v>
      </c>
      <c r="G19" s="20"/>
      <c r="H19" s="20"/>
      <c r="I19" s="20"/>
      <c r="J19" s="20"/>
      <c r="K19" s="20"/>
      <c r="L19" s="20"/>
      <c r="M19" s="20"/>
      <c r="N19" s="20"/>
    </row>
    <row r="20" spans="1:14">
      <c r="A20" s="20"/>
      <c r="B20" s="20"/>
      <c r="C20" s="20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</row>
    <row r="21" spans="1:14" ht="15" customHeight="1">
      <c r="A21" s="20"/>
      <c r="B21" s="20"/>
      <c r="C21" s="562" t="s">
        <v>360</v>
      </c>
      <c r="D21" s="373" t="s">
        <v>113</v>
      </c>
      <c r="E21" s="373" t="s">
        <v>114</v>
      </c>
      <c r="F21" s="20"/>
      <c r="G21" s="20"/>
      <c r="H21" s="20"/>
      <c r="I21" s="20"/>
      <c r="J21" s="20"/>
      <c r="K21" s="20"/>
      <c r="L21" s="20"/>
      <c r="M21" s="20"/>
      <c r="N21" s="20"/>
    </row>
    <row r="22" spans="1:14">
      <c r="A22" s="20"/>
      <c r="B22" s="20"/>
      <c r="C22" s="562"/>
      <c r="D22" s="355" t="s">
        <v>115</v>
      </c>
      <c r="E22" s="355" t="s">
        <v>116</v>
      </c>
      <c r="F22" s="20"/>
      <c r="G22" s="20"/>
      <c r="H22" s="20"/>
      <c r="I22" s="20"/>
      <c r="J22" s="20"/>
      <c r="K22" s="20"/>
      <c r="L22" s="20"/>
      <c r="M22" s="20"/>
      <c r="N22" s="20"/>
    </row>
    <row r="23" spans="1:14">
      <c r="A23" s="20"/>
      <c r="B23" s="20"/>
      <c r="C23" s="562"/>
      <c r="D23" s="355" t="s">
        <v>117</v>
      </c>
      <c r="E23" s="355" t="s">
        <v>118</v>
      </c>
      <c r="F23" s="20"/>
      <c r="G23" s="20"/>
      <c r="H23" s="20"/>
      <c r="I23" s="20"/>
      <c r="J23" s="20"/>
      <c r="K23" s="20"/>
      <c r="L23" s="20"/>
      <c r="M23" s="20"/>
      <c r="N23" s="20"/>
    </row>
    <row r="24" spans="1:14">
      <c r="A24" s="20"/>
      <c r="B24" s="20"/>
      <c r="C24" s="562"/>
      <c r="D24" s="355" t="s">
        <v>119</v>
      </c>
      <c r="E24" s="355" t="s">
        <v>120</v>
      </c>
      <c r="F24" s="20"/>
      <c r="G24" s="20"/>
      <c r="H24" s="20"/>
      <c r="I24" s="20"/>
      <c r="J24" s="20"/>
      <c r="K24" s="20"/>
      <c r="L24" s="20"/>
      <c r="M24" s="20"/>
      <c r="N24" s="20"/>
    </row>
    <row r="25" spans="1:14">
      <c r="A25" s="20"/>
      <c r="B25" s="20"/>
      <c r="C25" s="562"/>
      <c r="D25" s="168"/>
      <c r="E25" s="168"/>
      <c r="F25" s="20"/>
      <c r="G25" s="20"/>
      <c r="H25" s="20"/>
      <c r="I25" s="20"/>
      <c r="J25" s="20"/>
      <c r="K25" s="20"/>
      <c r="L25" s="20"/>
      <c r="M25" s="20"/>
      <c r="N25" s="20"/>
    </row>
    <row r="26" spans="1:14">
      <c r="A26" s="20"/>
      <c r="B26" s="20"/>
      <c r="C26" s="377"/>
      <c r="D26" s="20"/>
      <c r="E26" s="20"/>
      <c r="F26" s="20"/>
      <c r="G26" s="20"/>
      <c r="H26" s="20"/>
      <c r="I26" s="20"/>
      <c r="J26" s="20"/>
      <c r="K26" s="20"/>
      <c r="L26" s="20"/>
      <c r="M26" s="20"/>
      <c r="N26" s="20"/>
    </row>
    <row r="27" spans="1:14">
      <c r="A27" s="20"/>
      <c r="B27" s="20"/>
      <c r="C27" s="377"/>
      <c r="D27" s="20"/>
      <c r="E27" s="20"/>
      <c r="F27" s="20"/>
      <c r="G27" s="20"/>
      <c r="H27" s="20"/>
      <c r="I27" s="20"/>
      <c r="J27" s="20"/>
      <c r="K27" s="20"/>
      <c r="L27" s="20"/>
      <c r="M27" s="20"/>
      <c r="N27" s="20"/>
    </row>
    <row r="28" spans="1:14">
      <c r="A28" s="20"/>
      <c r="B28" s="20"/>
      <c r="C28" s="377"/>
      <c r="D28" s="20"/>
      <c r="E28" s="20"/>
      <c r="F28" s="20"/>
      <c r="G28" s="20"/>
      <c r="H28" s="20"/>
      <c r="I28" s="20"/>
      <c r="J28" s="20"/>
      <c r="K28" s="20"/>
      <c r="L28" s="20"/>
      <c r="M28" s="20"/>
      <c r="N28" s="20"/>
    </row>
    <row r="29" spans="1:14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  <c r="N29" s="20"/>
    </row>
    <row r="30" spans="1:14" ht="17.399999999999999">
      <c r="A30" s="20"/>
      <c r="B30" s="378"/>
      <c r="C30" s="379" t="s">
        <v>362</v>
      </c>
      <c r="D30" s="380"/>
      <c r="E30" s="381"/>
      <c r="F30" s="381"/>
      <c r="G30" s="381"/>
      <c r="H30" s="381"/>
      <c r="I30" s="382"/>
      <c r="J30" s="378"/>
      <c r="K30" s="20"/>
      <c r="L30" s="20"/>
      <c r="M30" s="20"/>
      <c r="N30" s="20"/>
    </row>
    <row r="31" spans="1:14">
      <c r="A31" s="20"/>
      <c r="B31" s="378"/>
      <c r="C31" s="383" t="s">
        <v>358</v>
      </c>
      <c r="D31" s="381"/>
      <c r="E31" s="381" t="s">
        <v>152</v>
      </c>
      <c r="F31" s="381"/>
      <c r="G31" s="381"/>
      <c r="H31" s="381"/>
      <c r="I31" s="382"/>
      <c r="J31" s="378"/>
      <c r="K31" s="20"/>
      <c r="L31" s="20"/>
      <c r="M31" s="20"/>
      <c r="N31" s="20"/>
    </row>
    <row r="32" spans="1:14">
      <c r="A32" s="20"/>
      <c r="B32" s="378"/>
      <c r="C32" s="383" t="s">
        <v>153</v>
      </c>
      <c r="D32" s="381"/>
      <c r="E32" s="381" t="s">
        <v>154</v>
      </c>
      <c r="F32" s="381"/>
      <c r="G32" s="381"/>
      <c r="H32" s="381"/>
      <c r="I32" s="382"/>
      <c r="J32" s="378"/>
      <c r="K32" s="20"/>
      <c r="L32" s="20"/>
      <c r="M32" s="20"/>
      <c r="N32" s="20"/>
    </row>
    <row r="33" spans="1:14">
      <c r="A33" s="20"/>
      <c r="B33" s="378"/>
      <c r="C33" s="384" t="s">
        <v>155</v>
      </c>
      <c r="D33" s="385"/>
      <c r="E33" s="385" t="s">
        <v>156</v>
      </c>
      <c r="F33" s="385"/>
      <c r="G33" s="385"/>
      <c r="H33" s="385"/>
      <c r="I33" s="386"/>
      <c r="J33" s="378"/>
      <c r="K33" s="20"/>
      <c r="L33" s="20"/>
      <c r="M33" s="20"/>
      <c r="N33" s="20"/>
    </row>
    <row r="34" spans="1:14">
      <c r="A34" s="20"/>
      <c r="B34" s="378"/>
      <c r="C34" s="387"/>
      <c r="D34" s="388"/>
      <c r="E34" s="388" t="s">
        <v>157</v>
      </c>
      <c r="F34" s="388"/>
      <c r="G34" s="388"/>
      <c r="H34" s="388"/>
      <c r="I34" s="389"/>
      <c r="J34" s="378"/>
      <c r="K34" s="20"/>
      <c r="L34" s="20"/>
      <c r="M34" s="20"/>
      <c r="N34" s="20"/>
    </row>
    <row r="35" spans="1:14">
      <c r="A35" s="20"/>
      <c r="B35" s="378"/>
      <c r="C35" s="384" t="s">
        <v>158</v>
      </c>
      <c r="D35" s="385"/>
      <c r="E35" s="385" t="s">
        <v>159</v>
      </c>
      <c r="F35" s="385"/>
      <c r="G35" s="385"/>
      <c r="H35" s="385"/>
      <c r="I35" s="386"/>
      <c r="J35" s="378"/>
      <c r="K35" s="20"/>
      <c r="L35" s="20"/>
      <c r="M35" s="20"/>
      <c r="N35" s="20"/>
    </row>
    <row r="36" spans="1:14">
      <c r="A36" s="20"/>
      <c r="B36" s="378"/>
      <c r="C36" s="387"/>
      <c r="D36" s="388"/>
      <c r="E36" s="388" t="s">
        <v>160</v>
      </c>
      <c r="F36" s="388"/>
      <c r="G36" s="388"/>
      <c r="H36" s="388"/>
      <c r="I36" s="389"/>
      <c r="J36" s="378"/>
      <c r="K36" s="20"/>
      <c r="L36" s="20"/>
      <c r="M36" s="20"/>
      <c r="N36" s="20"/>
    </row>
    <row r="37" spans="1:14">
      <c r="A37" s="20"/>
      <c r="B37" s="378"/>
      <c r="C37" s="383" t="s">
        <v>171</v>
      </c>
      <c r="D37" s="381"/>
      <c r="E37" s="381" t="s">
        <v>161</v>
      </c>
      <c r="F37" s="381"/>
      <c r="G37" s="381"/>
      <c r="H37" s="381"/>
      <c r="I37" s="382"/>
      <c r="J37" s="378"/>
      <c r="K37" s="20"/>
      <c r="L37" s="20"/>
      <c r="M37" s="20"/>
      <c r="N37" s="20"/>
    </row>
    <row r="38" spans="1:14">
      <c r="A38" s="20"/>
      <c r="B38" s="378"/>
      <c r="C38" s="378"/>
      <c r="D38" s="378"/>
      <c r="E38" s="378"/>
      <c r="F38" s="378"/>
      <c r="G38" s="378"/>
      <c r="H38" s="378"/>
      <c r="I38" s="378"/>
      <c r="J38" s="378"/>
      <c r="K38" s="20"/>
      <c r="L38" s="20"/>
      <c r="M38" s="20"/>
      <c r="N38" s="20"/>
    </row>
    <row r="39" spans="1:14" hidden="1">
      <c r="A39" s="20"/>
      <c r="B39" s="20"/>
      <c r="C39" s="20"/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</row>
    <row r="40" spans="1:14" hidden="1">
      <c r="A40" s="20"/>
      <c r="B40" s="20"/>
      <c r="C40" s="20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</row>
    <row r="41" spans="1:14" hidden="1">
      <c r="A41" s="20"/>
      <c r="B41" s="20"/>
      <c r="C41" s="20"/>
      <c r="D41" s="20"/>
      <c r="E41" s="20"/>
      <c r="F41" s="20"/>
      <c r="G41" s="20"/>
      <c r="H41" s="20"/>
      <c r="I41" s="20"/>
      <c r="J41" s="20"/>
      <c r="K41" s="20"/>
    </row>
    <row r="42" spans="1:14" hidden="1">
      <c r="A42" s="20"/>
      <c r="B42" s="20"/>
    </row>
    <row r="43" spans="1:14" hidden="1">
      <c r="A43" s="20"/>
      <c r="B43" s="20"/>
    </row>
    <row r="44" spans="1:14" hidden="1">
      <c r="A44" s="20"/>
      <c r="B44" s="20"/>
    </row>
    <row r="45" spans="1:14" hidden="1">
      <c r="A45" s="20"/>
      <c r="B45" s="20"/>
    </row>
  </sheetData>
  <sheetProtection insertHyperlinks="0" selectLockedCells="1"/>
  <mergeCells count="4">
    <mergeCell ref="C15:C19"/>
    <mergeCell ref="C21:C25"/>
    <mergeCell ref="C7:F13"/>
    <mergeCell ref="I5:J5"/>
  </mergeCells>
  <pageMargins left="0.7" right="0.7" top="0.75" bottom="0.75" header="0.3" footer="0.3"/>
  <pageSetup paperSize="9" orientation="portrait" horizontalDpi="4294967293" r:id="rId1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wsMeny"/>
  <dimension ref="A1:R159"/>
  <sheetViews>
    <sheetView workbookViewId="0">
      <selection activeCell="G15" sqref="G15"/>
    </sheetView>
  </sheetViews>
  <sheetFormatPr baseColWidth="10" defaultColWidth="12.59765625" defaultRowHeight="11.4"/>
  <cols>
    <col min="1" max="1" width="1.59765625" style="246" customWidth="1"/>
    <col min="2" max="2" width="12.59765625" style="247"/>
    <col min="3" max="3" width="17.8984375" style="247" customWidth="1"/>
    <col min="4" max="8" width="15.59765625" style="247" customWidth="1"/>
    <col min="9" max="9" width="1.59765625" style="246" customWidth="1"/>
    <col min="10" max="10" width="12.3984375" style="247" customWidth="1"/>
    <col min="11" max="11" width="18.09765625" style="247" customWidth="1"/>
    <col min="12" max="12" width="11.8984375" style="250" customWidth="1"/>
    <col min="13" max="13" width="14" style="247" customWidth="1"/>
    <col min="14" max="14" width="11.59765625" style="250" customWidth="1"/>
    <col min="15" max="15" width="10.09765625" style="250" customWidth="1"/>
    <col min="16" max="16" width="14.09765625" style="247" customWidth="1"/>
    <col min="17" max="17" width="13.3984375" style="247" customWidth="1"/>
    <col min="18" max="18" width="1.59765625" style="246" customWidth="1"/>
    <col min="19" max="16384" width="12.59765625" style="247"/>
  </cols>
  <sheetData>
    <row r="1" spans="1:18" s="241" customFormat="1" ht="12" customHeight="1">
      <c r="A1" s="240"/>
      <c r="I1" s="240"/>
      <c r="L1" s="242"/>
      <c r="N1" s="242"/>
      <c r="O1" s="242"/>
      <c r="R1" s="240"/>
    </row>
    <row r="2" spans="1:18" s="241" customFormat="1" ht="12" customHeight="1">
      <c r="A2" s="240"/>
      <c r="I2" s="240"/>
      <c r="L2" s="242"/>
      <c r="N2" s="242"/>
      <c r="O2" s="242"/>
      <c r="R2" s="240"/>
    </row>
    <row r="3" spans="1:18" s="241" customFormat="1" ht="12" customHeight="1">
      <c r="A3" s="240"/>
      <c r="I3" s="240"/>
      <c r="L3" s="242"/>
      <c r="N3" s="242"/>
      <c r="O3" s="242"/>
      <c r="R3" s="240"/>
    </row>
    <row r="4" spans="1:18" s="244" customFormat="1">
      <c r="A4" s="243"/>
      <c r="I4" s="243"/>
      <c r="L4" s="245"/>
      <c r="N4" s="245"/>
      <c r="O4" s="245"/>
      <c r="R4" s="243"/>
    </row>
    <row r="5" spans="1:18" ht="13.8">
      <c r="J5" s="248" t="s">
        <v>252</v>
      </c>
      <c r="K5" s="249">
        <v>44196</v>
      </c>
    </row>
    <row r="6" spans="1:18" ht="14.4">
      <c r="B6" s="251" t="s">
        <v>265</v>
      </c>
      <c r="D6" s="252" t="s">
        <v>250</v>
      </c>
      <c r="J6" s="248" t="s">
        <v>253</v>
      </c>
      <c r="K6" s="253" t="s">
        <v>477</v>
      </c>
      <c r="L6" s="254"/>
      <c r="M6" s="253"/>
      <c r="N6" s="254"/>
      <c r="P6" s="472">
        <v>155</v>
      </c>
    </row>
    <row r="7" spans="1:18">
      <c r="P7" s="472">
        <v>118</v>
      </c>
    </row>
    <row r="9" spans="1:18" ht="14.4">
      <c r="B9" s="251" t="s">
        <v>266</v>
      </c>
      <c r="D9" s="252" t="s">
        <v>249</v>
      </c>
      <c r="K9" s="255" t="s">
        <v>334</v>
      </c>
      <c r="L9" s="256"/>
      <c r="M9" s="255"/>
    </row>
    <row r="10" spans="1:18" ht="13.8">
      <c r="B10" s="257"/>
      <c r="K10" s="255" t="s">
        <v>335</v>
      </c>
      <c r="L10" s="256"/>
      <c r="M10" s="255"/>
    </row>
    <row r="11" spans="1:18" ht="17.399999999999999">
      <c r="B11" s="258" t="s">
        <v>267</v>
      </c>
      <c r="L11" s="259"/>
    </row>
    <row r="12" spans="1:18">
      <c r="B12" s="257"/>
    </row>
    <row r="13" spans="1:18" ht="12">
      <c r="B13" s="257"/>
      <c r="M13" s="502" t="s">
        <v>402</v>
      </c>
      <c r="N13" s="502" t="s">
        <v>403</v>
      </c>
    </row>
    <row r="14" spans="1:18" ht="12">
      <c r="B14" s="257"/>
      <c r="J14" s="471" t="s">
        <v>398</v>
      </c>
      <c r="L14" s="470" t="s">
        <v>218</v>
      </c>
      <c r="M14" s="472">
        <v>150</v>
      </c>
      <c r="N14" s="472">
        <v>150</v>
      </c>
      <c r="O14" s="473" t="s">
        <v>399</v>
      </c>
    </row>
    <row r="15" spans="1:18" ht="12">
      <c r="B15" s="257" t="s">
        <v>272</v>
      </c>
      <c r="D15" s="260">
        <v>1</v>
      </c>
      <c r="E15" s="252" t="s">
        <v>271</v>
      </c>
      <c r="L15" s="470" t="s">
        <v>219</v>
      </c>
      <c r="M15" s="472">
        <v>130</v>
      </c>
      <c r="N15" s="472">
        <v>130</v>
      </c>
      <c r="O15" s="473" t="s">
        <v>400</v>
      </c>
    </row>
    <row r="16" spans="1:18" ht="12">
      <c r="B16" s="257" t="s">
        <v>269</v>
      </c>
      <c r="D16" s="260">
        <v>12</v>
      </c>
      <c r="E16" s="252" t="s">
        <v>270</v>
      </c>
      <c r="L16" s="247"/>
      <c r="M16" s="250"/>
      <c r="O16" s="474"/>
    </row>
    <row r="17" spans="2:18" ht="12">
      <c r="B17" s="257" t="s">
        <v>256</v>
      </c>
      <c r="D17" s="260">
        <v>15</v>
      </c>
      <c r="E17" s="252" t="s">
        <v>263</v>
      </c>
      <c r="J17" s="471" t="s">
        <v>401</v>
      </c>
      <c r="L17" s="470" t="s">
        <v>218</v>
      </c>
      <c r="M17" s="472">
        <v>159</v>
      </c>
      <c r="N17" s="472">
        <v>150</v>
      </c>
      <c r="O17" s="473" t="s">
        <v>399</v>
      </c>
    </row>
    <row r="18" spans="2:18" ht="12">
      <c r="B18" s="257" t="s">
        <v>264</v>
      </c>
      <c r="D18" s="261" t="b">
        <v>0</v>
      </c>
      <c r="E18" s="252" t="s">
        <v>236</v>
      </c>
      <c r="L18" s="470" t="s">
        <v>219</v>
      </c>
      <c r="M18" s="472">
        <v>150</v>
      </c>
      <c r="N18" s="472">
        <v>95</v>
      </c>
      <c r="O18" s="473" t="s">
        <v>400</v>
      </c>
    </row>
    <row r="23" spans="2:18">
      <c r="C23" s="262"/>
      <c r="D23" s="262"/>
      <c r="E23" s="262"/>
      <c r="F23" s="262"/>
    </row>
    <row r="24" spans="2:18" ht="17.399999999999999">
      <c r="B24" s="263" t="s">
        <v>214</v>
      </c>
      <c r="C24" s="262"/>
      <c r="D24" s="262"/>
      <c r="E24" s="262"/>
      <c r="F24" s="262"/>
      <c r="G24" s="262"/>
      <c r="H24" s="262"/>
      <c r="J24" s="263" t="s">
        <v>268</v>
      </c>
      <c r="L24" s="259" t="s">
        <v>281</v>
      </c>
    </row>
    <row r="25" spans="2:18" ht="12">
      <c r="B25" s="264"/>
      <c r="C25" s="265"/>
      <c r="D25" s="265"/>
      <c r="E25" s="265"/>
      <c r="F25" s="265"/>
      <c r="G25" s="265"/>
      <c r="H25" s="265"/>
      <c r="J25" s="264"/>
      <c r="K25" s="266"/>
      <c r="L25" s="267"/>
      <c r="M25" s="266"/>
      <c r="N25" s="267"/>
      <c r="O25" s="267"/>
      <c r="P25" s="266"/>
      <c r="Q25" s="266"/>
    </row>
    <row r="26" spans="2:18" ht="12">
      <c r="B26" s="268" t="s">
        <v>215</v>
      </c>
      <c r="C26" s="268" t="s">
        <v>216</v>
      </c>
      <c r="D26" s="268" t="s">
        <v>217</v>
      </c>
      <c r="E26" s="268" t="s">
        <v>218</v>
      </c>
      <c r="F26" s="268" t="s">
        <v>219</v>
      </c>
      <c r="G26" s="268" t="s">
        <v>220</v>
      </c>
      <c r="H26" s="268" t="s">
        <v>221</v>
      </c>
      <c r="J26" s="268" t="s">
        <v>279</v>
      </c>
      <c r="K26" s="268" t="s">
        <v>280</v>
      </c>
      <c r="L26" s="268" t="s">
        <v>275</v>
      </c>
      <c r="M26" s="268" t="s">
        <v>257</v>
      </c>
      <c r="N26" s="268" t="s">
        <v>282</v>
      </c>
      <c r="O26" s="268" t="s">
        <v>276</v>
      </c>
      <c r="P26" s="268" t="s">
        <v>277</v>
      </c>
      <c r="Q26" s="268" t="s">
        <v>278</v>
      </c>
    </row>
    <row r="27" spans="2:18">
      <c r="B27" s="247" t="s">
        <v>274</v>
      </c>
      <c r="C27" s="247" t="s">
        <v>248</v>
      </c>
      <c r="D27" s="247">
        <v>0</v>
      </c>
      <c r="E27" s="247">
        <v>13</v>
      </c>
      <c r="F27" s="247">
        <v>983.8306884765625</v>
      </c>
      <c r="G27" s="247">
        <v>25.052047729492188</v>
      </c>
      <c r="H27" s="247">
        <v>0.42433071136474609</v>
      </c>
      <c r="I27" s="269"/>
      <c r="J27" s="270" t="s">
        <v>237</v>
      </c>
      <c r="K27" s="271" t="s">
        <v>248</v>
      </c>
      <c r="L27" s="270">
        <v>1</v>
      </c>
      <c r="M27" s="271" t="s">
        <v>258</v>
      </c>
      <c r="N27" s="270">
        <v>1</v>
      </c>
      <c r="O27" s="270">
        <v>1</v>
      </c>
      <c r="P27" s="390" t="s">
        <v>387</v>
      </c>
      <c r="Q27" s="501" t="s">
        <v>424</v>
      </c>
      <c r="R27" s="272"/>
    </row>
    <row r="28" spans="2:18">
      <c r="B28" s="247" t="s">
        <v>273</v>
      </c>
      <c r="C28" s="247" t="s">
        <v>248</v>
      </c>
      <c r="D28" s="247">
        <v>0</v>
      </c>
      <c r="E28" s="247">
        <v>13</v>
      </c>
      <c r="F28" s="247">
        <v>984.1563720703125</v>
      </c>
      <c r="G28" s="247">
        <v>25.052047729492188</v>
      </c>
      <c r="H28" s="247">
        <v>0.32566928863525391</v>
      </c>
      <c r="I28" s="269"/>
      <c r="J28" s="270" t="s">
        <v>238</v>
      </c>
      <c r="K28" s="271" t="s">
        <v>223</v>
      </c>
      <c r="L28" s="270">
        <v>1</v>
      </c>
      <c r="M28" s="271" t="s">
        <v>259</v>
      </c>
      <c r="N28" s="270">
        <v>2</v>
      </c>
      <c r="O28" s="270">
        <v>1</v>
      </c>
      <c r="P28" s="271" t="s">
        <v>284</v>
      </c>
      <c r="Q28" s="476" t="s">
        <v>437</v>
      </c>
      <c r="R28" s="272"/>
    </row>
    <row r="29" spans="2:18">
      <c r="B29" s="247" t="s">
        <v>247</v>
      </c>
      <c r="C29" s="247" t="s">
        <v>248</v>
      </c>
      <c r="D29" s="247">
        <v>0</v>
      </c>
      <c r="E29" s="247">
        <v>13</v>
      </c>
      <c r="F29" s="247">
        <v>984.4820556640625</v>
      </c>
      <c r="G29" s="247">
        <v>25.052047729492188</v>
      </c>
      <c r="H29" s="247">
        <v>0.42433071136474609</v>
      </c>
      <c r="I29" s="269"/>
      <c r="J29" s="270" t="s">
        <v>239</v>
      </c>
      <c r="K29" s="271" t="s">
        <v>226</v>
      </c>
      <c r="L29" s="270"/>
      <c r="M29" s="271" t="s">
        <v>260</v>
      </c>
      <c r="N29" s="270">
        <v>3</v>
      </c>
      <c r="O29" s="270">
        <v>0</v>
      </c>
      <c r="P29" s="271" t="s">
        <v>285</v>
      </c>
      <c r="Q29" s="271" t="s">
        <v>286</v>
      </c>
      <c r="R29" s="272"/>
    </row>
    <row r="30" spans="2:18">
      <c r="B30" s="247" t="s">
        <v>246</v>
      </c>
      <c r="C30" s="247" t="s">
        <v>248</v>
      </c>
      <c r="D30" s="247">
        <v>0</v>
      </c>
      <c r="E30" s="247">
        <v>13</v>
      </c>
      <c r="F30" s="247">
        <v>984.0577392578125</v>
      </c>
      <c r="G30" s="247">
        <v>25.052047729492188</v>
      </c>
      <c r="H30" s="247">
        <v>0.42433071136474609</v>
      </c>
      <c r="I30" s="269"/>
      <c r="J30" s="270" t="s">
        <v>240</v>
      </c>
      <c r="K30" s="271" t="s">
        <v>227</v>
      </c>
      <c r="L30" s="270"/>
      <c r="M30" s="271" t="s">
        <v>60</v>
      </c>
      <c r="N30" s="270">
        <v>4</v>
      </c>
      <c r="O30" s="270">
        <v>0</v>
      </c>
      <c r="P30" s="271"/>
      <c r="Q30" s="271"/>
      <c r="R30" s="272"/>
    </row>
    <row r="31" spans="2:18">
      <c r="B31" s="247" t="s">
        <v>244</v>
      </c>
      <c r="C31" s="247" t="s">
        <v>248</v>
      </c>
      <c r="D31" s="247">
        <v>0</v>
      </c>
      <c r="E31" s="247">
        <v>13</v>
      </c>
      <c r="F31" s="247">
        <v>864.15509033203125</v>
      </c>
      <c r="G31" s="247">
        <v>25.052047729492188</v>
      </c>
      <c r="H31" s="247">
        <v>119.90259552001953</v>
      </c>
      <c r="I31" s="269"/>
      <c r="J31" s="270" t="s">
        <v>241</v>
      </c>
      <c r="K31" s="271" t="s">
        <v>232</v>
      </c>
      <c r="L31" s="270"/>
      <c r="M31" s="271" t="s">
        <v>63</v>
      </c>
      <c r="N31" s="270">
        <v>5</v>
      </c>
      <c r="O31" s="270">
        <v>0</v>
      </c>
      <c r="P31" s="271"/>
      <c r="Q31" s="271"/>
      <c r="R31" s="272"/>
    </row>
    <row r="32" spans="2:18">
      <c r="B32" s="247" t="s">
        <v>243</v>
      </c>
      <c r="C32" s="247" t="s">
        <v>248</v>
      </c>
      <c r="D32" s="247">
        <v>0</v>
      </c>
      <c r="E32" s="247">
        <v>13</v>
      </c>
      <c r="F32" s="247">
        <v>741.93731689453125</v>
      </c>
      <c r="G32" s="247">
        <v>25.052047729492188</v>
      </c>
      <c r="H32" s="247">
        <v>138.09819030761719</v>
      </c>
      <c r="I32" s="269"/>
      <c r="J32" s="270" t="s">
        <v>242</v>
      </c>
      <c r="K32" s="271" t="s">
        <v>209</v>
      </c>
      <c r="L32" s="270"/>
      <c r="M32" s="271" t="s">
        <v>261</v>
      </c>
      <c r="N32" s="270">
        <v>6</v>
      </c>
      <c r="O32" s="270">
        <v>0</v>
      </c>
      <c r="P32" s="271"/>
      <c r="Q32" s="271"/>
      <c r="R32" s="272"/>
    </row>
    <row r="33" spans="2:18">
      <c r="B33" s="247" t="s">
        <v>242</v>
      </c>
      <c r="C33" s="247" t="s">
        <v>248</v>
      </c>
      <c r="D33" s="247">
        <v>0</v>
      </c>
      <c r="E33" s="247">
        <v>13</v>
      </c>
      <c r="F33" s="247">
        <v>620.24127197265625</v>
      </c>
      <c r="G33" s="247">
        <v>25.052047729492188</v>
      </c>
      <c r="H33" s="247">
        <v>136.72866821289063</v>
      </c>
      <c r="I33" s="269"/>
      <c r="J33" s="270" t="s">
        <v>243</v>
      </c>
      <c r="K33" s="390" t="s">
        <v>390</v>
      </c>
      <c r="L33" s="270"/>
      <c r="M33" s="390" t="s">
        <v>386</v>
      </c>
      <c r="N33" s="270">
        <v>7</v>
      </c>
      <c r="O33" s="270">
        <v>1</v>
      </c>
      <c r="P33" s="271" t="s">
        <v>283</v>
      </c>
      <c r="Q33" s="390" t="s">
        <v>363</v>
      </c>
      <c r="R33" s="272"/>
    </row>
    <row r="34" spans="2:18">
      <c r="B34" s="247" t="s">
        <v>241</v>
      </c>
      <c r="C34" s="247" t="s">
        <v>248</v>
      </c>
      <c r="D34" s="247">
        <v>0</v>
      </c>
      <c r="E34" s="247">
        <v>13</v>
      </c>
      <c r="F34" s="247">
        <v>498.38214111328125</v>
      </c>
      <c r="G34" s="247">
        <v>25.052047729492188</v>
      </c>
      <c r="H34" s="247">
        <v>136.859130859375</v>
      </c>
      <c r="I34" s="269"/>
      <c r="J34" s="270" t="s">
        <v>244</v>
      </c>
      <c r="K34" s="271" t="s">
        <v>245</v>
      </c>
      <c r="L34" s="270"/>
      <c r="M34" s="271" t="s">
        <v>262</v>
      </c>
      <c r="N34" s="270">
        <v>8</v>
      </c>
      <c r="O34" s="270">
        <v>0</v>
      </c>
      <c r="P34" s="271"/>
      <c r="Q34" s="271"/>
      <c r="R34" s="272"/>
    </row>
    <row r="35" spans="2:18">
      <c r="B35" s="247" t="s">
        <v>240</v>
      </c>
      <c r="C35" s="247" t="s">
        <v>248</v>
      </c>
      <c r="D35" s="247">
        <v>0</v>
      </c>
      <c r="E35" s="247">
        <v>13</v>
      </c>
      <c r="F35" s="247">
        <v>375.93606567382813</v>
      </c>
      <c r="G35" s="247">
        <v>25.052047729492188</v>
      </c>
      <c r="H35" s="247">
        <v>137.44606018066406</v>
      </c>
      <c r="I35" s="269"/>
      <c r="J35" s="270" t="s">
        <v>246</v>
      </c>
      <c r="K35" s="271" t="s">
        <v>327</v>
      </c>
      <c r="L35" s="270"/>
      <c r="M35" s="271" t="s">
        <v>327</v>
      </c>
      <c r="N35" s="270">
        <v>9</v>
      </c>
      <c r="O35" s="270">
        <v>0</v>
      </c>
      <c r="P35" s="271"/>
      <c r="Q35" s="271"/>
      <c r="R35" s="272"/>
    </row>
    <row r="36" spans="2:18">
      <c r="B36" s="247" t="s">
        <v>239</v>
      </c>
      <c r="C36" s="247" t="s">
        <v>248</v>
      </c>
      <c r="D36" s="247">
        <v>0</v>
      </c>
      <c r="E36" s="247">
        <v>13</v>
      </c>
      <c r="F36" s="247">
        <v>254.24000549316406</v>
      </c>
      <c r="G36" s="247">
        <v>25.052047729492188</v>
      </c>
      <c r="H36" s="247">
        <v>137.05471801757813</v>
      </c>
      <c r="I36" s="269"/>
      <c r="J36" s="270" t="s">
        <v>247</v>
      </c>
      <c r="K36" s="390" t="s">
        <v>391</v>
      </c>
      <c r="L36" s="270"/>
      <c r="M36" s="390" t="s">
        <v>392</v>
      </c>
      <c r="N36" s="270">
        <v>10</v>
      </c>
      <c r="O36" s="270">
        <v>1</v>
      </c>
      <c r="P36" s="390" t="s">
        <v>388</v>
      </c>
      <c r="Q36" s="390" t="s">
        <v>389</v>
      </c>
      <c r="R36" s="272"/>
    </row>
    <row r="37" spans="2:18">
      <c r="B37" s="247" t="s">
        <v>238</v>
      </c>
      <c r="C37" s="247" t="s">
        <v>248</v>
      </c>
      <c r="D37" s="247">
        <v>-1</v>
      </c>
      <c r="E37" s="247">
        <v>13</v>
      </c>
      <c r="F37" s="247">
        <v>130.52220153808594</v>
      </c>
      <c r="G37" s="247">
        <v>25.052047729492188</v>
      </c>
      <c r="H37" s="247">
        <v>139.36991882324219</v>
      </c>
      <c r="I37" s="269"/>
      <c r="J37" s="270" t="s">
        <v>273</v>
      </c>
      <c r="K37" s="271"/>
      <c r="L37" s="270"/>
      <c r="M37" s="271"/>
      <c r="N37" s="270"/>
      <c r="O37" s="270"/>
      <c r="P37" s="271"/>
      <c r="Q37" s="271"/>
      <c r="R37" s="272"/>
    </row>
    <row r="38" spans="2:18">
      <c r="B38" s="247" t="s">
        <v>438</v>
      </c>
      <c r="C38" s="247" t="s">
        <v>248</v>
      </c>
      <c r="D38" s="247">
        <v>-1</v>
      </c>
      <c r="E38" s="247">
        <v>46.499919891357422</v>
      </c>
      <c r="F38" s="247">
        <v>5.25</v>
      </c>
      <c r="G38" s="247">
        <v>63.782676696777344</v>
      </c>
      <c r="H38" s="247">
        <v>65.032676696777344</v>
      </c>
      <c r="I38" s="269"/>
      <c r="J38" s="270" t="s">
        <v>274</v>
      </c>
      <c r="K38" s="271"/>
      <c r="L38" s="270"/>
      <c r="M38" s="271"/>
      <c r="N38" s="270"/>
      <c r="O38" s="270"/>
      <c r="P38" s="271"/>
      <c r="Q38" s="271"/>
      <c r="R38" s="272"/>
    </row>
    <row r="39" spans="2:18">
      <c r="B39" s="247" t="s">
        <v>439</v>
      </c>
      <c r="C39" s="247" t="s">
        <v>248</v>
      </c>
      <c r="D39" s="247">
        <v>-1</v>
      </c>
      <c r="E39" s="247">
        <v>857.0301513671875</v>
      </c>
      <c r="F39" s="247">
        <v>780.52935791015625</v>
      </c>
      <c r="G39" s="247">
        <v>58.269844055175781</v>
      </c>
      <c r="H39" s="247">
        <v>189.09071350097656</v>
      </c>
    </row>
    <row r="40" spans="2:18">
      <c r="B40" s="247" t="s">
        <v>440</v>
      </c>
      <c r="C40" s="247" t="s">
        <v>248</v>
      </c>
      <c r="D40" s="247">
        <v>-1</v>
      </c>
      <c r="E40" s="247">
        <v>814.05859375</v>
      </c>
      <c r="F40" s="247">
        <v>932.07354736328125</v>
      </c>
      <c r="G40" s="247">
        <v>22.677165985107422</v>
      </c>
      <c r="H40" s="247">
        <v>22.521732330322266</v>
      </c>
    </row>
    <row r="41" spans="2:18">
      <c r="B41" s="247" t="s">
        <v>441</v>
      </c>
      <c r="C41" s="247" t="s">
        <v>248</v>
      </c>
      <c r="D41" s="247">
        <v>-1</v>
      </c>
      <c r="E41" s="247">
        <v>814.05859375</v>
      </c>
      <c r="F41" s="247">
        <v>891.04400634765625</v>
      </c>
      <c r="G41" s="247">
        <v>22.677165985107422</v>
      </c>
      <c r="H41" s="247">
        <v>22.677165985107422</v>
      </c>
    </row>
    <row r="42" spans="2:18">
      <c r="B42" s="247" t="s">
        <v>237</v>
      </c>
      <c r="C42" s="247" t="s">
        <v>248</v>
      </c>
      <c r="D42" s="247">
        <v>-1</v>
      </c>
      <c r="E42" s="247">
        <v>13</v>
      </c>
      <c r="F42" s="247">
        <v>10.228188514709473</v>
      </c>
      <c r="G42" s="247">
        <v>25.052047729492188</v>
      </c>
      <c r="H42" s="247">
        <v>135.29402160644531</v>
      </c>
    </row>
    <row r="43" spans="2:18">
      <c r="B43" s="247" t="s">
        <v>397</v>
      </c>
      <c r="C43" s="247" t="s">
        <v>248</v>
      </c>
      <c r="D43" s="247">
        <v>-1</v>
      </c>
      <c r="E43" s="247">
        <v>409.5</v>
      </c>
      <c r="F43" s="247">
        <v>525</v>
      </c>
      <c r="G43" s="247">
        <v>18.75</v>
      </c>
      <c r="H43" s="247">
        <v>151.5</v>
      </c>
    </row>
    <row r="44" spans="2:18">
      <c r="B44" s="247" t="s">
        <v>442</v>
      </c>
      <c r="C44" s="247" t="s">
        <v>248</v>
      </c>
      <c r="D44" s="247">
        <v>-1</v>
      </c>
      <c r="E44" s="247">
        <v>279</v>
      </c>
      <c r="F44" s="247">
        <v>1151.25</v>
      </c>
      <c r="G44" s="247">
        <v>147</v>
      </c>
      <c r="H44" s="247">
        <v>167.25</v>
      </c>
    </row>
    <row r="45" spans="2:18">
      <c r="B45" s="247" t="s">
        <v>397</v>
      </c>
      <c r="C45" s="247" t="s">
        <v>248</v>
      </c>
      <c r="D45" s="247">
        <v>-1</v>
      </c>
      <c r="E45" s="247">
        <v>440.25</v>
      </c>
      <c r="F45" s="247">
        <v>526.5</v>
      </c>
      <c r="G45" s="247">
        <v>33.75</v>
      </c>
      <c r="H45" s="247">
        <v>151.5</v>
      </c>
    </row>
    <row r="46" spans="2:18">
      <c r="B46" s="247" t="s">
        <v>443</v>
      </c>
      <c r="C46" s="247" t="s">
        <v>248</v>
      </c>
      <c r="D46" s="247">
        <v>-1</v>
      </c>
      <c r="E46" s="247">
        <v>873.4500732421875</v>
      </c>
      <c r="F46" s="247">
        <v>201.75</v>
      </c>
      <c r="G46" s="247">
        <v>16.049999237060547</v>
      </c>
      <c r="H46" s="247">
        <v>343.5</v>
      </c>
    </row>
    <row r="47" spans="2:18">
      <c r="B47" s="247" t="s">
        <v>444</v>
      </c>
      <c r="C47" s="247" t="s">
        <v>248</v>
      </c>
      <c r="D47" s="247">
        <v>-1</v>
      </c>
      <c r="E47" s="247">
        <v>897</v>
      </c>
      <c r="F47" s="247">
        <v>496.50009155273438</v>
      </c>
      <c r="G47" s="247">
        <v>10.5</v>
      </c>
      <c r="H47" s="247">
        <v>99.75</v>
      </c>
    </row>
    <row r="48" spans="2:18">
      <c r="B48" s="247" t="s">
        <v>445</v>
      </c>
      <c r="C48" s="247" t="s">
        <v>248</v>
      </c>
      <c r="D48" s="247">
        <v>-1</v>
      </c>
      <c r="E48" s="247">
        <v>908.25</v>
      </c>
      <c r="F48" s="247">
        <v>105.75007629394531</v>
      </c>
      <c r="G48" s="247">
        <v>15.75</v>
      </c>
      <c r="H48" s="247">
        <v>190.5</v>
      </c>
    </row>
    <row r="49" spans="2:8">
      <c r="B49" s="247" t="s">
        <v>446</v>
      </c>
      <c r="C49" s="247" t="s">
        <v>248</v>
      </c>
      <c r="D49" s="247">
        <v>-1</v>
      </c>
      <c r="E49" s="247">
        <v>862.5</v>
      </c>
      <c r="F49" s="247">
        <v>45.75</v>
      </c>
      <c r="G49" s="247">
        <v>9.75</v>
      </c>
      <c r="H49" s="247">
        <v>345</v>
      </c>
    </row>
    <row r="50" spans="2:8">
      <c r="B50" s="247" t="s">
        <v>447</v>
      </c>
      <c r="C50" s="247" t="s">
        <v>248</v>
      </c>
      <c r="D50" s="247">
        <v>-1</v>
      </c>
      <c r="E50" s="247">
        <v>300.75</v>
      </c>
      <c r="F50" s="247">
        <v>66</v>
      </c>
      <c r="G50" s="247">
        <v>28.5</v>
      </c>
      <c r="H50" s="247">
        <v>168.75</v>
      </c>
    </row>
    <row r="51" spans="2:8">
      <c r="B51" s="247" t="s">
        <v>448</v>
      </c>
      <c r="C51" s="247" t="s">
        <v>248</v>
      </c>
      <c r="D51" s="247">
        <v>-1</v>
      </c>
      <c r="E51" s="247">
        <v>324</v>
      </c>
      <c r="F51" s="247">
        <v>66</v>
      </c>
      <c r="G51" s="247">
        <v>27.75</v>
      </c>
      <c r="H51" s="247">
        <v>254.25</v>
      </c>
    </row>
    <row r="52" spans="2:8">
      <c r="B52" s="247" t="s">
        <v>449</v>
      </c>
      <c r="C52" s="247" t="s">
        <v>248</v>
      </c>
      <c r="D52" s="247">
        <v>-1</v>
      </c>
      <c r="E52" s="247">
        <v>346.5</v>
      </c>
      <c r="F52" s="247">
        <v>66</v>
      </c>
      <c r="G52" s="247">
        <v>27.75</v>
      </c>
      <c r="H52" s="247">
        <v>243.75</v>
      </c>
    </row>
    <row r="53" spans="2:8">
      <c r="B53" s="247" t="s">
        <v>450</v>
      </c>
      <c r="C53" s="247" t="s">
        <v>248</v>
      </c>
      <c r="D53" s="247">
        <v>-1</v>
      </c>
      <c r="E53" s="247">
        <v>288</v>
      </c>
      <c r="F53" s="247">
        <v>54.75</v>
      </c>
      <c r="G53" s="247">
        <v>94.5</v>
      </c>
      <c r="H53" s="247">
        <v>279</v>
      </c>
    </row>
    <row r="54" spans="2:8">
      <c r="B54" s="247" t="s">
        <v>333</v>
      </c>
      <c r="C54" s="247" t="s">
        <v>248</v>
      </c>
      <c r="D54" s="247">
        <v>0</v>
      </c>
      <c r="E54" s="247">
        <v>476.25</v>
      </c>
      <c r="F54" s="247">
        <v>304.5</v>
      </c>
      <c r="G54" s="247">
        <v>45.75</v>
      </c>
      <c r="H54" s="247">
        <v>259.5</v>
      </c>
    </row>
    <row r="55" spans="2:8">
      <c r="B55" s="247" t="s">
        <v>328</v>
      </c>
      <c r="C55" s="247" t="s">
        <v>248</v>
      </c>
      <c r="D55" s="247">
        <v>0</v>
      </c>
      <c r="E55" s="247">
        <v>482.25</v>
      </c>
      <c r="F55" s="247">
        <v>304.5</v>
      </c>
      <c r="G55" s="247">
        <v>60.75</v>
      </c>
      <c r="H55" s="247">
        <v>442.5</v>
      </c>
    </row>
    <row r="56" spans="2:8">
      <c r="B56" s="247" t="s">
        <v>329</v>
      </c>
      <c r="C56" s="247" t="s">
        <v>248</v>
      </c>
      <c r="D56" s="247">
        <v>0</v>
      </c>
      <c r="E56" s="247">
        <v>396</v>
      </c>
      <c r="F56" s="247">
        <v>304.5</v>
      </c>
      <c r="G56" s="247">
        <v>46.5</v>
      </c>
      <c r="H56" s="247">
        <v>292.5</v>
      </c>
    </row>
    <row r="57" spans="2:8">
      <c r="B57" s="247" t="s">
        <v>331</v>
      </c>
      <c r="C57" s="247" t="s">
        <v>248</v>
      </c>
      <c r="D57" s="247">
        <v>0</v>
      </c>
      <c r="E57" s="247">
        <v>528</v>
      </c>
      <c r="F57" s="247">
        <v>304.5</v>
      </c>
      <c r="G57" s="247">
        <v>33.75</v>
      </c>
      <c r="H57" s="247">
        <v>181.5</v>
      </c>
    </row>
    <row r="58" spans="2:8">
      <c r="B58" s="247" t="s">
        <v>364</v>
      </c>
      <c r="C58" s="247" t="s">
        <v>248</v>
      </c>
      <c r="D58" s="247">
        <v>0</v>
      </c>
      <c r="E58" s="247">
        <v>262.5</v>
      </c>
      <c r="F58" s="247">
        <v>304.5</v>
      </c>
      <c r="G58" s="247">
        <v>31.5</v>
      </c>
      <c r="H58" s="247">
        <v>175.5</v>
      </c>
    </row>
    <row r="59" spans="2:8">
      <c r="B59" s="247" t="s">
        <v>365</v>
      </c>
      <c r="C59" s="247" t="s">
        <v>248</v>
      </c>
      <c r="D59" s="247">
        <v>0</v>
      </c>
      <c r="E59" s="247">
        <v>494.25</v>
      </c>
      <c r="F59" s="247">
        <v>495</v>
      </c>
      <c r="G59" s="247">
        <v>198.75</v>
      </c>
      <c r="H59" s="247">
        <v>540.75</v>
      </c>
    </row>
    <row r="60" spans="2:8">
      <c r="B60" s="247" t="s">
        <v>366</v>
      </c>
      <c r="C60" s="247" t="s">
        <v>248</v>
      </c>
      <c r="D60" s="247">
        <v>0</v>
      </c>
      <c r="E60" s="247">
        <v>647.25</v>
      </c>
      <c r="F60" s="247">
        <v>304.5</v>
      </c>
      <c r="G60" s="247">
        <v>33.75</v>
      </c>
      <c r="H60" s="247">
        <v>181.5</v>
      </c>
    </row>
    <row r="61" spans="2:8">
      <c r="B61" s="247" t="s">
        <v>381</v>
      </c>
      <c r="C61" s="247" t="s">
        <v>248</v>
      </c>
      <c r="D61" s="247">
        <v>0</v>
      </c>
      <c r="E61" s="247">
        <v>766.5</v>
      </c>
      <c r="F61" s="247">
        <v>304.5</v>
      </c>
      <c r="G61" s="247">
        <v>37.5</v>
      </c>
      <c r="H61" s="247">
        <v>181.5</v>
      </c>
    </row>
    <row r="62" spans="2:8">
      <c r="B62" s="247" t="s">
        <v>385</v>
      </c>
      <c r="C62" s="247" t="s">
        <v>248</v>
      </c>
      <c r="D62" s="247">
        <v>0</v>
      </c>
      <c r="E62" s="247">
        <v>848.25</v>
      </c>
      <c r="F62" s="247">
        <v>717.75</v>
      </c>
      <c r="G62" s="247">
        <v>91.5</v>
      </c>
      <c r="H62" s="247">
        <v>333.75</v>
      </c>
    </row>
    <row r="63" spans="2:8">
      <c r="B63" s="247" t="s">
        <v>425</v>
      </c>
      <c r="C63" s="247" t="s">
        <v>248</v>
      </c>
      <c r="D63" s="247">
        <v>0</v>
      </c>
      <c r="E63" s="247">
        <v>601.5</v>
      </c>
      <c r="F63" s="247">
        <v>434.25</v>
      </c>
      <c r="G63" s="247">
        <v>214.5</v>
      </c>
      <c r="H63" s="247">
        <v>531</v>
      </c>
    </row>
    <row r="64" spans="2:8">
      <c r="B64" s="247" t="s">
        <v>426</v>
      </c>
      <c r="C64" s="247" t="s">
        <v>248</v>
      </c>
      <c r="D64" s="247">
        <v>0</v>
      </c>
      <c r="E64" s="247">
        <v>567.75</v>
      </c>
      <c r="F64" s="247">
        <v>780.75</v>
      </c>
      <c r="G64" s="247">
        <v>113.25</v>
      </c>
      <c r="H64" s="247">
        <v>175.5</v>
      </c>
    </row>
    <row r="65" spans="2:8">
      <c r="B65" s="247" t="s">
        <v>427</v>
      </c>
      <c r="C65" s="247" t="s">
        <v>248</v>
      </c>
      <c r="D65" s="247">
        <v>0</v>
      </c>
      <c r="E65" s="247">
        <v>647.25</v>
      </c>
      <c r="F65" s="247">
        <v>780.75</v>
      </c>
      <c r="G65" s="247">
        <v>39.75</v>
      </c>
      <c r="H65" s="247">
        <v>242.25</v>
      </c>
    </row>
    <row r="66" spans="2:8">
      <c r="B66" s="247" t="s">
        <v>428</v>
      </c>
      <c r="C66" s="247" t="s">
        <v>248</v>
      </c>
      <c r="D66" s="247">
        <v>0</v>
      </c>
      <c r="E66" s="247">
        <v>678</v>
      </c>
      <c r="F66" s="247">
        <v>780.75</v>
      </c>
      <c r="G66" s="247">
        <v>42.75</v>
      </c>
      <c r="H66" s="247">
        <v>249</v>
      </c>
    </row>
    <row r="67" spans="2:8">
      <c r="B67" s="247" t="s">
        <v>429</v>
      </c>
      <c r="C67" s="247" t="s">
        <v>248</v>
      </c>
      <c r="D67" s="247">
        <v>0</v>
      </c>
      <c r="E67" s="247">
        <v>726.75</v>
      </c>
      <c r="F67" s="247">
        <v>780.75</v>
      </c>
      <c r="G67" s="247">
        <v>33.75</v>
      </c>
      <c r="H67" s="247">
        <v>270.75</v>
      </c>
    </row>
    <row r="68" spans="2:8">
      <c r="B68" s="247" t="s">
        <v>430</v>
      </c>
      <c r="C68" s="247" t="s">
        <v>248</v>
      </c>
      <c r="D68" s="247">
        <v>0</v>
      </c>
      <c r="E68" s="247">
        <v>766.5</v>
      </c>
      <c r="F68" s="247">
        <v>780.75</v>
      </c>
      <c r="G68" s="247">
        <v>36.75</v>
      </c>
      <c r="H68" s="247">
        <v>438.75</v>
      </c>
    </row>
    <row r="69" spans="2:8">
      <c r="B69" s="247" t="s">
        <v>431</v>
      </c>
      <c r="C69" s="247" t="s">
        <v>248</v>
      </c>
      <c r="D69" s="247">
        <v>0</v>
      </c>
      <c r="E69" s="247">
        <v>708.75</v>
      </c>
      <c r="F69" s="247">
        <v>304.5</v>
      </c>
      <c r="G69" s="247">
        <v>36.75</v>
      </c>
      <c r="H69" s="247">
        <v>178.5</v>
      </c>
    </row>
    <row r="70" spans="2:8">
      <c r="B70" s="247" t="s">
        <v>432</v>
      </c>
      <c r="C70" s="247" t="s">
        <v>248</v>
      </c>
      <c r="D70" s="247">
        <v>0</v>
      </c>
      <c r="E70" s="247">
        <v>729.75</v>
      </c>
      <c r="F70" s="247">
        <v>304.5</v>
      </c>
      <c r="G70" s="247">
        <v>39.75</v>
      </c>
      <c r="H70" s="247">
        <v>178.5</v>
      </c>
    </row>
    <row r="71" spans="2:8">
      <c r="B71" s="247" t="s">
        <v>433</v>
      </c>
      <c r="C71" s="247" t="s">
        <v>248</v>
      </c>
      <c r="D71" s="247">
        <v>0</v>
      </c>
      <c r="E71" s="247">
        <v>804</v>
      </c>
      <c r="F71" s="247">
        <v>304.5</v>
      </c>
      <c r="G71" s="247">
        <v>41.25</v>
      </c>
      <c r="H71" s="247">
        <v>178.5</v>
      </c>
    </row>
    <row r="72" spans="2:8">
      <c r="B72" s="247" t="s">
        <v>434</v>
      </c>
      <c r="C72" s="247" t="s">
        <v>248</v>
      </c>
      <c r="D72" s="247">
        <v>0</v>
      </c>
      <c r="E72" s="247">
        <v>610.5</v>
      </c>
      <c r="F72" s="247">
        <v>780.75</v>
      </c>
      <c r="G72" s="247">
        <v>110.25</v>
      </c>
      <c r="H72" s="247">
        <v>172.5</v>
      </c>
    </row>
    <row r="73" spans="2:8">
      <c r="B73" s="247" t="s">
        <v>435</v>
      </c>
      <c r="C73" s="247" t="s">
        <v>248</v>
      </c>
      <c r="D73" s="247">
        <v>0</v>
      </c>
      <c r="E73" s="247">
        <v>804</v>
      </c>
      <c r="F73" s="247">
        <v>780.75</v>
      </c>
      <c r="G73" s="247">
        <v>103.5</v>
      </c>
      <c r="H73" s="247">
        <v>312.75</v>
      </c>
    </row>
    <row r="74" spans="2:8">
      <c r="B74" s="247" t="s">
        <v>451</v>
      </c>
      <c r="C74" s="247" t="s">
        <v>248</v>
      </c>
      <c r="D74" s="247">
        <v>0</v>
      </c>
      <c r="E74" s="247">
        <v>522</v>
      </c>
      <c r="F74" s="247">
        <v>295.5</v>
      </c>
      <c r="G74" s="247">
        <v>24.75</v>
      </c>
      <c r="H74" s="247">
        <v>93.75</v>
      </c>
    </row>
    <row r="75" spans="2:8">
      <c r="B75" s="247" t="s">
        <v>452</v>
      </c>
      <c r="C75" s="247" t="s">
        <v>391</v>
      </c>
      <c r="D75" s="247">
        <v>-1</v>
      </c>
      <c r="E75" s="247">
        <v>59</v>
      </c>
      <c r="F75" s="247">
        <v>0</v>
      </c>
      <c r="G75" s="247">
        <v>594.70001220703125</v>
      </c>
      <c r="H75" s="247">
        <v>422.49591064453125</v>
      </c>
    </row>
    <row r="76" spans="2:8">
      <c r="B76" s="247" t="s">
        <v>453</v>
      </c>
      <c r="C76" s="247" t="s">
        <v>391</v>
      </c>
      <c r="D76" s="247">
        <v>-1</v>
      </c>
      <c r="E76" s="247">
        <v>61.5</v>
      </c>
      <c r="F76" s="247">
        <v>483.5</v>
      </c>
      <c r="G76" s="247">
        <v>549.5830078125</v>
      </c>
      <c r="H76" s="247">
        <v>408.99755859375</v>
      </c>
    </row>
    <row r="77" spans="2:8">
      <c r="B77" s="247" t="s">
        <v>454</v>
      </c>
      <c r="C77" s="247" t="s">
        <v>391</v>
      </c>
      <c r="D77" s="247">
        <v>-1</v>
      </c>
      <c r="E77" s="247">
        <v>63</v>
      </c>
      <c r="F77" s="247">
        <v>953.5</v>
      </c>
      <c r="G77" s="247">
        <v>555.28228759765625</v>
      </c>
      <c r="H77" s="247">
        <v>407.19778442382813</v>
      </c>
    </row>
    <row r="78" spans="2:8">
      <c r="B78" s="247" t="s">
        <v>443</v>
      </c>
      <c r="C78" s="247" t="s">
        <v>391</v>
      </c>
      <c r="D78" s="247">
        <v>-1</v>
      </c>
      <c r="E78" s="247">
        <v>15.25</v>
      </c>
      <c r="F78" s="247">
        <v>25</v>
      </c>
      <c r="G78" s="247">
        <v>34</v>
      </c>
      <c r="H78" s="247">
        <v>163.5</v>
      </c>
    </row>
    <row r="79" spans="2:8">
      <c r="B79" s="247" t="s">
        <v>445</v>
      </c>
      <c r="C79" s="247" t="s">
        <v>391</v>
      </c>
      <c r="D79" s="247">
        <v>-1</v>
      </c>
      <c r="E79" s="247">
        <v>612.75</v>
      </c>
      <c r="F79" s="247">
        <v>1225.5</v>
      </c>
      <c r="G79" s="247">
        <v>34</v>
      </c>
      <c r="H79" s="247">
        <v>163.5</v>
      </c>
    </row>
    <row r="80" spans="2:8">
      <c r="B80" s="247" t="s">
        <v>274</v>
      </c>
      <c r="C80" s="247" t="s">
        <v>223</v>
      </c>
      <c r="D80" s="247">
        <v>0</v>
      </c>
      <c r="E80" s="247">
        <v>12.419369697570801</v>
      </c>
      <c r="F80" s="247">
        <v>1352.7628173828125</v>
      </c>
      <c r="G80" s="247">
        <v>24.63267707824707</v>
      </c>
      <c r="H80" s="247">
        <v>137.80519104003906</v>
      </c>
    </row>
    <row r="81" spans="2:8">
      <c r="B81" s="247" t="s">
        <v>273</v>
      </c>
      <c r="C81" s="247" t="s">
        <v>223</v>
      </c>
      <c r="D81" s="247">
        <v>0</v>
      </c>
      <c r="E81" s="247">
        <v>12.666692733764648</v>
      </c>
      <c r="F81" s="247">
        <v>1230.529052734375</v>
      </c>
      <c r="G81" s="247">
        <v>24.385354995727539</v>
      </c>
      <c r="H81" s="247">
        <v>137.30528259277344</v>
      </c>
    </row>
    <row r="82" spans="2:8">
      <c r="B82" s="247" t="s">
        <v>247</v>
      </c>
      <c r="C82" s="247" t="s">
        <v>223</v>
      </c>
      <c r="D82" s="247">
        <v>0</v>
      </c>
      <c r="E82" s="247">
        <v>12.666692733764648</v>
      </c>
      <c r="F82" s="247">
        <v>1109.3546142578125</v>
      </c>
      <c r="G82" s="247">
        <v>24.385354995727539</v>
      </c>
      <c r="H82" s="247">
        <v>137.78157043457031</v>
      </c>
    </row>
    <row r="83" spans="2:8">
      <c r="B83" s="247" t="s">
        <v>246</v>
      </c>
      <c r="C83" s="247" t="s">
        <v>223</v>
      </c>
      <c r="D83" s="247">
        <v>0</v>
      </c>
      <c r="E83" s="247">
        <v>12.666692733764648</v>
      </c>
      <c r="F83" s="247">
        <v>985.19219970703125</v>
      </c>
      <c r="G83" s="247">
        <v>24.385354995727539</v>
      </c>
      <c r="H83" s="247">
        <v>139.16244506835938</v>
      </c>
    </row>
    <row r="84" spans="2:8">
      <c r="B84" s="247" t="s">
        <v>244</v>
      </c>
      <c r="C84" s="247" t="s">
        <v>223</v>
      </c>
      <c r="D84" s="247">
        <v>0</v>
      </c>
      <c r="E84" s="247">
        <v>12.666692733764648</v>
      </c>
      <c r="F84" s="247">
        <v>863.74407958984375</v>
      </c>
      <c r="G84" s="247">
        <v>24.385354995727539</v>
      </c>
      <c r="H84" s="247">
        <v>136.44810485839844</v>
      </c>
    </row>
    <row r="85" spans="2:8">
      <c r="B85" s="247" t="s">
        <v>243</v>
      </c>
      <c r="C85" s="247" t="s">
        <v>223</v>
      </c>
      <c r="D85" s="247">
        <v>0</v>
      </c>
      <c r="E85" s="247">
        <v>12.666692733764648</v>
      </c>
      <c r="F85" s="247">
        <v>742.33172607421875</v>
      </c>
      <c r="G85" s="247">
        <v>24.385354995727539</v>
      </c>
      <c r="H85" s="247">
        <v>136.41236877441406</v>
      </c>
    </row>
    <row r="86" spans="2:8">
      <c r="B86" s="247" t="s">
        <v>242</v>
      </c>
      <c r="C86" s="247" t="s">
        <v>223</v>
      </c>
      <c r="D86" s="247">
        <v>0</v>
      </c>
      <c r="E86" s="247">
        <v>12.666692733764648</v>
      </c>
      <c r="F86" s="247">
        <v>621.3955078125</v>
      </c>
      <c r="G86" s="247">
        <v>24.385354995727539</v>
      </c>
      <c r="H86" s="247">
        <v>135.93621826171875</v>
      </c>
    </row>
    <row r="87" spans="2:8">
      <c r="B87" s="247" t="s">
        <v>241</v>
      </c>
      <c r="C87" s="247" t="s">
        <v>223</v>
      </c>
      <c r="D87" s="247">
        <v>0</v>
      </c>
      <c r="E87" s="247">
        <v>12.666692733764648</v>
      </c>
      <c r="F87" s="247">
        <v>498.35205078125</v>
      </c>
      <c r="G87" s="247">
        <v>24.385354995727539</v>
      </c>
      <c r="H87" s="247">
        <v>137.73385620117188</v>
      </c>
    </row>
    <row r="88" spans="2:8">
      <c r="B88" s="247" t="s">
        <v>240</v>
      </c>
      <c r="C88" s="247" t="s">
        <v>223</v>
      </c>
      <c r="D88" s="247">
        <v>0</v>
      </c>
      <c r="E88" s="247">
        <v>12.666692733764648</v>
      </c>
      <c r="F88" s="247">
        <v>377.225341796875</v>
      </c>
      <c r="G88" s="247">
        <v>24.385354995727539</v>
      </c>
      <c r="H88" s="247">
        <v>136.12669372558594</v>
      </c>
    </row>
    <row r="89" spans="2:8">
      <c r="B89" s="247" t="s">
        <v>239</v>
      </c>
      <c r="C89" s="247" t="s">
        <v>223</v>
      </c>
      <c r="D89" s="247">
        <v>0</v>
      </c>
      <c r="E89" s="247">
        <v>12.666692733764648</v>
      </c>
      <c r="F89" s="247">
        <v>254.46763610839844</v>
      </c>
      <c r="G89" s="247">
        <v>24.385354995727539</v>
      </c>
      <c r="H89" s="247">
        <v>137.75772094726563</v>
      </c>
    </row>
    <row r="90" spans="2:8">
      <c r="B90" s="247" t="s">
        <v>237</v>
      </c>
      <c r="C90" s="247" t="s">
        <v>223</v>
      </c>
      <c r="D90" s="247">
        <v>-1</v>
      </c>
      <c r="E90" s="247">
        <v>12.666692733764648</v>
      </c>
      <c r="F90" s="247">
        <v>10.972519874572754</v>
      </c>
      <c r="G90" s="247">
        <v>24.385354995727539</v>
      </c>
      <c r="H90" s="247">
        <v>133.51133728027344</v>
      </c>
    </row>
    <row r="91" spans="2:8">
      <c r="B91" s="247" t="s">
        <v>455</v>
      </c>
      <c r="C91" s="247" t="s">
        <v>223</v>
      </c>
      <c r="D91" s="247">
        <v>-1</v>
      </c>
      <c r="E91" s="247">
        <v>112.50007629394531</v>
      </c>
      <c r="F91" s="247">
        <v>1219.8587646484375</v>
      </c>
      <c r="G91" s="247">
        <v>293.73321533203125</v>
      </c>
      <c r="H91" s="247">
        <v>374.40103149414063</v>
      </c>
    </row>
    <row r="92" spans="2:8">
      <c r="B92" s="247" t="s">
        <v>456</v>
      </c>
      <c r="C92" s="247" t="s">
        <v>223</v>
      </c>
      <c r="D92" s="247">
        <v>-1</v>
      </c>
      <c r="E92" s="247">
        <v>114.38456726074219</v>
      </c>
      <c r="F92" s="247">
        <v>436.09536743164063</v>
      </c>
      <c r="G92" s="247">
        <v>294.077392578125</v>
      </c>
      <c r="H92" s="247">
        <v>334.54345703125</v>
      </c>
    </row>
    <row r="93" spans="2:8">
      <c r="B93" s="247" t="s">
        <v>224</v>
      </c>
      <c r="C93" s="247" t="s">
        <v>223</v>
      </c>
      <c r="D93" s="247">
        <v>-1</v>
      </c>
      <c r="E93" s="247">
        <v>488.01959228515625</v>
      </c>
      <c r="F93" s="247">
        <v>358.66668701171875</v>
      </c>
      <c r="G93" s="247">
        <v>10.5</v>
      </c>
      <c r="H93" s="247">
        <v>60.75</v>
      </c>
    </row>
    <row r="94" spans="2:8">
      <c r="B94" s="247" t="s">
        <v>225</v>
      </c>
      <c r="C94" s="247" t="s">
        <v>223</v>
      </c>
      <c r="D94" s="247">
        <v>-1</v>
      </c>
      <c r="E94" s="247">
        <v>488.01959228515625</v>
      </c>
      <c r="F94" s="247">
        <v>1141.166748046875</v>
      </c>
      <c r="G94" s="247">
        <v>10.5</v>
      </c>
      <c r="H94" s="247">
        <v>60.75</v>
      </c>
    </row>
    <row r="95" spans="2:8">
      <c r="B95" s="247" t="s">
        <v>254</v>
      </c>
      <c r="C95" s="247" t="s">
        <v>223</v>
      </c>
      <c r="D95" s="247">
        <v>-1</v>
      </c>
      <c r="E95" s="247">
        <v>311.420166015625</v>
      </c>
      <c r="F95" s="247">
        <v>519.79962158203125</v>
      </c>
      <c r="G95" s="247">
        <v>30.553937911987305</v>
      </c>
      <c r="H95" s="247">
        <v>174.78370666503906</v>
      </c>
    </row>
    <row r="96" spans="2:8">
      <c r="B96" s="247" t="s">
        <v>255</v>
      </c>
      <c r="C96" s="247" t="s">
        <v>223</v>
      </c>
      <c r="D96" s="247">
        <v>-1</v>
      </c>
      <c r="E96" s="247">
        <v>316.51953125</v>
      </c>
      <c r="F96" s="247">
        <v>1321.063720703125</v>
      </c>
      <c r="G96" s="247">
        <v>33.039211273193359</v>
      </c>
      <c r="H96" s="247">
        <v>178.18621826171875</v>
      </c>
    </row>
    <row r="97" spans="2:8">
      <c r="B97" s="247" t="s">
        <v>238</v>
      </c>
      <c r="C97" s="247" t="s">
        <v>223</v>
      </c>
      <c r="D97" s="247">
        <v>-1</v>
      </c>
      <c r="E97" s="247">
        <v>12.666692733764648</v>
      </c>
      <c r="F97" s="247">
        <v>129.48385620117188</v>
      </c>
      <c r="G97" s="247">
        <v>24.385354995727539</v>
      </c>
      <c r="H97" s="247">
        <v>140.72189331054688</v>
      </c>
    </row>
    <row r="98" spans="2:8">
      <c r="B98" s="247" t="s">
        <v>457</v>
      </c>
      <c r="C98" s="247" t="s">
        <v>223</v>
      </c>
      <c r="D98" s="247">
        <v>-1</v>
      </c>
      <c r="E98" s="247">
        <v>44</v>
      </c>
      <c r="F98" s="247">
        <v>1393.666748046875</v>
      </c>
      <c r="G98" s="247">
        <v>48.765117645263672</v>
      </c>
      <c r="H98" s="247">
        <v>145.77369689941406</v>
      </c>
    </row>
    <row r="99" spans="2:8">
      <c r="B99" s="247" t="s">
        <v>332</v>
      </c>
      <c r="C99" s="247" t="s">
        <v>223</v>
      </c>
      <c r="D99" s="247">
        <v>0</v>
      </c>
      <c r="E99" s="247">
        <v>248.25</v>
      </c>
      <c r="F99" s="247">
        <v>159.75</v>
      </c>
      <c r="G99" s="247">
        <v>59.25</v>
      </c>
      <c r="H99" s="247">
        <v>205.5</v>
      </c>
    </row>
    <row r="100" spans="2:8">
      <c r="B100" s="247" t="s">
        <v>333</v>
      </c>
      <c r="C100" s="247" t="s">
        <v>223</v>
      </c>
      <c r="D100" s="247">
        <v>0</v>
      </c>
      <c r="E100" s="247">
        <v>248.25</v>
      </c>
      <c r="F100" s="247">
        <v>855</v>
      </c>
      <c r="G100" s="247">
        <v>59.25</v>
      </c>
      <c r="H100" s="247">
        <v>189.75</v>
      </c>
    </row>
    <row r="101" spans="2:8">
      <c r="B101" s="247" t="s">
        <v>330</v>
      </c>
      <c r="C101" s="247" t="s">
        <v>223</v>
      </c>
      <c r="D101" s="247">
        <v>-1</v>
      </c>
      <c r="E101" s="247">
        <v>599.25</v>
      </c>
      <c r="F101" s="247">
        <v>392.25</v>
      </c>
      <c r="G101" s="247">
        <v>74.25</v>
      </c>
      <c r="H101" s="247">
        <v>277.5</v>
      </c>
    </row>
    <row r="102" spans="2:8">
      <c r="B102" s="247" t="s">
        <v>454</v>
      </c>
      <c r="C102" s="247" t="s">
        <v>227</v>
      </c>
      <c r="D102" s="247">
        <v>-1</v>
      </c>
      <c r="E102" s="247">
        <v>144.05882263183594</v>
      </c>
      <c r="F102" s="247">
        <v>55.176612854003906</v>
      </c>
      <c r="G102" s="247">
        <v>35.176376342773438</v>
      </c>
      <c r="H102" s="247">
        <v>258.57354736328125</v>
      </c>
    </row>
    <row r="103" spans="2:8">
      <c r="B103" s="247" t="s">
        <v>458</v>
      </c>
      <c r="C103" s="247" t="s">
        <v>227</v>
      </c>
      <c r="D103" s="247">
        <v>-1</v>
      </c>
      <c r="E103" s="247">
        <v>208.05882263183594</v>
      </c>
      <c r="F103" s="247">
        <v>179.46803283691406</v>
      </c>
      <c r="G103" s="247">
        <v>32.741180419921875</v>
      </c>
      <c r="H103" s="247">
        <v>237.53189086914063</v>
      </c>
    </row>
    <row r="104" spans="2:8">
      <c r="B104" s="247" t="s">
        <v>228</v>
      </c>
      <c r="C104" s="247" t="s">
        <v>227</v>
      </c>
      <c r="D104" s="247">
        <v>-1</v>
      </c>
      <c r="E104" s="247">
        <v>216</v>
      </c>
      <c r="F104" s="247">
        <v>124.88228607177734</v>
      </c>
      <c r="G104" s="247">
        <v>97.5</v>
      </c>
      <c r="H104" s="247">
        <v>50.294330596923828</v>
      </c>
    </row>
    <row r="105" spans="2:8">
      <c r="B105" s="247" t="s">
        <v>459</v>
      </c>
      <c r="C105" s="247" t="s">
        <v>227</v>
      </c>
      <c r="D105" s="247">
        <v>-1</v>
      </c>
      <c r="E105" s="247">
        <v>216.00007629394531</v>
      </c>
      <c r="F105" s="247">
        <v>28</v>
      </c>
      <c r="G105" s="247">
        <v>32.799922943115234</v>
      </c>
      <c r="H105" s="247">
        <v>94.463462829589844</v>
      </c>
    </row>
    <row r="106" spans="2:8">
      <c r="B106" s="247" t="s">
        <v>460</v>
      </c>
      <c r="C106" s="247" t="s">
        <v>227</v>
      </c>
      <c r="D106" s="247">
        <v>-1</v>
      </c>
      <c r="E106" s="247">
        <v>145.29983520507813</v>
      </c>
      <c r="F106" s="247">
        <v>1387.329345703125</v>
      </c>
      <c r="G106" s="247">
        <v>18.838268280029297</v>
      </c>
      <c r="H106" s="247">
        <v>110.32070922851563</v>
      </c>
    </row>
    <row r="107" spans="2:8">
      <c r="B107" s="247" t="s">
        <v>461</v>
      </c>
      <c r="C107" s="247" t="s">
        <v>227</v>
      </c>
      <c r="D107" s="247">
        <v>-1</v>
      </c>
      <c r="E107" s="247">
        <v>373.67654418945313</v>
      </c>
      <c r="F107" s="247">
        <v>558.8970947265625</v>
      </c>
      <c r="G107" s="247">
        <v>29.735197067260742</v>
      </c>
      <c r="H107" s="247">
        <v>159.17984008789063</v>
      </c>
    </row>
    <row r="108" spans="2:8">
      <c r="B108" s="247" t="s">
        <v>462</v>
      </c>
      <c r="C108" s="247" t="s">
        <v>227</v>
      </c>
      <c r="D108" s="247">
        <v>-1</v>
      </c>
      <c r="E108" s="247">
        <v>139.10661315917969</v>
      </c>
      <c r="F108" s="247">
        <v>1800.5</v>
      </c>
      <c r="G108" s="247">
        <v>16.606693267822266</v>
      </c>
      <c r="H108" s="247">
        <v>74.25</v>
      </c>
    </row>
    <row r="109" spans="2:8">
      <c r="B109" s="247" t="s">
        <v>463</v>
      </c>
      <c r="C109" s="247" t="s">
        <v>227</v>
      </c>
      <c r="D109" s="247">
        <v>-1</v>
      </c>
      <c r="E109" s="247">
        <v>328.5</v>
      </c>
      <c r="F109" s="247">
        <v>1803.574951171875</v>
      </c>
      <c r="G109" s="247">
        <v>32.25</v>
      </c>
      <c r="H109" s="247">
        <v>96.965591430664063</v>
      </c>
    </row>
    <row r="110" spans="2:8">
      <c r="B110" s="247" t="s">
        <v>452</v>
      </c>
      <c r="C110" s="247" t="s">
        <v>227</v>
      </c>
      <c r="D110" s="247">
        <v>-1</v>
      </c>
      <c r="E110" s="247">
        <v>131.19999694824219</v>
      </c>
      <c r="F110" s="247">
        <v>1799</v>
      </c>
      <c r="G110" s="247">
        <v>31.046142578125</v>
      </c>
      <c r="H110" s="247">
        <v>201.13031005859375</v>
      </c>
    </row>
    <row r="111" spans="2:8">
      <c r="B111" s="247" t="s">
        <v>453</v>
      </c>
      <c r="C111" s="247" t="s">
        <v>227</v>
      </c>
      <c r="D111" s="247">
        <v>-1</v>
      </c>
      <c r="E111" s="247">
        <v>172.60000610351563</v>
      </c>
      <c r="F111" s="247">
        <v>1668</v>
      </c>
      <c r="G111" s="247">
        <v>59.842597961425781</v>
      </c>
      <c r="H111" s="247">
        <v>330.69229125976563</v>
      </c>
    </row>
    <row r="112" spans="2:8">
      <c r="B112" s="247" t="s">
        <v>229</v>
      </c>
      <c r="C112" s="247" t="s">
        <v>227</v>
      </c>
      <c r="D112" s="247">
        <v>-1</v>
      </c>
      <c r="E112" s="247">
        <v>123.40000152587891</v>
      </c>
      <c r="F112" s="247">
        <v>1734.199951171875</v>
      </c>
      <c r="G112" s="247">
        <v>175.60000610351563</v>
      </c>
      <c r="H112" s="247">
        <v>229.60000610351563</v>
      </c>
    </row>
    <row r="113" spans="2:8">
      <c r="B113" s="247" t="s">
        <v>464</v>
      </c>
      <c r="C113" s="247" t="s">
        <v>227</v>
      </c>
      <c r="D113" s="247">
        <v>-1</v>
      </c>
      <c r="E113" s="247">
        <v>373.67654418945313</v>
      </c>
      <c r="F113" s="247">
        <v>963.8970947265625</v>
      </c>
      <c r="G113" s="247">
        <v>29.735197067260742</v>
      </c>
      <c r="H113" s="247">
        <v>159.17984008789063</v>
      </c>
    </row>
    <row r="114" spans="2:8">
      <c r="B114" s="247" t="s">
        <v>465</v>
      </c>
      <c r="C114" s="247" t="s">
        <v>227</v>
      </c>
      <c r="D114" s="247">
        <v>-1</v>
      </c>
      <c r="E114" s="247">
        <v>373.67654418945313</v>
      </c>
      <c r="F114" s="247">
        <v>1368.89697265625</v>
      </c>
      <c r="G114" s="247">
        <v>29.735197067260742</v>
      </c>
      <c r="H114" s="247">
        <v>159.17984008789063</v>
      </c>
    </row>
    <row r="115" spans="2:8">
      <c r="B115" s="247" t="s">
        <v>230</v>
      </c>
      <c r="C115" s="247" t="s">
        <v>227</v>
      </c>
      <c r="D115" s="247">
        <v>0</v>
      </c>
      <c r="E115" s="247">
        <v>555.75</v>
      </c>
      <c r="F115" s="247">
        <v>422.25</v>
      </c>
      <c r="G115" s="247">
        <v>46.5</v>
      </c>
      <c r="H115" s="247">
        <v>150</v>
      </c>
    </row>
    <row r="116" spans="2:8">
      <c r="B116" s="247" t="s">
        <v>231</v>
      </c>
      <c r="C116" s="247" t="s">
        <v>227</v>
      </c>
      <c r="D116" s="247">
        <v>0</v>
      </c>
      <c r="E116" s="247">
        <v>402.75</v>
      </c>
      <c r="F116" s="247">
        <v>312.75</v>
      </c>
      <c r="G116" s="247">
        <v>109.5</v>
      </c>
      <c r="H116" s="247">
        <v>165.75</v>
      </c>
    </row>
    <row r="117" spans="2:8">
      <c r="B117" s="247" t="s">
        <v>436</v>
      </c>
      <c r="C117" s="247" t="s">
        <v>227</v>
      </c>
      <c r="D117" s="247">
        <v>0</v>
      </c>
      <c r="E117" s="247">
        <v>355.5</v>
      </c>
      <c r="F117" s="247">
        <v>258</v>
      </c>
      <c r="G117" s="247">
        <v>57</v>
      </c>
      <c r="H117" s="247">
        <v>102</v>
      </c>
    </row>
    <row r="118" spans="2:8">
      <c r="B118" s="247" t="s">
        <v>466</v>
      </c>
      <c r="C118" s="247" t="s">
        <v>232</v>
      </c>
      <c r="D118" s="247">
        <v>-1</v>
      </c>
      <c r="E118" s="247">
        <v>233.96873474121094</v>
      </c>
      <c r="F118" s="247">
        <v>90.25</v>
      </c>
      <c r="G118" s="247">
        <v>102.62228393554688</v>
      </c>
      <c r="H118" s="247">
        <v>311.04953002929688</v>
      </c>
    </row>
    <row r="119" spans="2:8">
      <c r="B119" s="247" t="s">
        <v>464</v>
      </c>
      <c r="C119" s="247" t="s">
        <v>232</v>
      </c>
      <c r="D119" s="247">
        <v>-1</v>
      </c>
      <c r="E119" s="247">
        <v>164.62684631347656</v>
      </c>
      <c r="F119" s="247">
        <v>75.249923706054688</v>
      </c>
      <c r="G119" s="247">
        <v>34.711338043212891</v>
      </c>
      <c r="H119" s="247">
        <v>256.46591186523438</v>
      </c>
    </row>
    <row r="120" spans="2:8">
      <c r="B120" s="247" t="s">
        <v>465</v>
      </c>
      <c r="C120" s="247" t="s">
        <v>232</v>
      </c>
      <c r="D120" s="247">
        <v>-1</v>
      </c>
      <c r="E120" s="247">
        <v>220.72921752929688</v>
      </c>
      <c r="F120" s="247">
        <v>714.8333740234375</v>
      </c>
      <c r="G120" s="247">
        <v>18.090551376342773</v>
      </c>
      <c r="H120" s="247">
        <v>182.60086059570313</v>
      </c>
    </row>
    <row r="121" spans="2:8">
      <c r="B121" s="247" t="s">
        <v>467</v>
      </c>
      <c r="C121" s="247" t="s">
        <v>232</v>
      </c>
      <c r="D121" s="247">
        <v>-1</v>
      </c>
      <c r="E121" s="247">
        <v>165.66668701171875</v>
      </c>
      <c r="F121" s="247">
        <v>647.9742431640625</v>
      </c>
      <c r="G121" s="247">
        <v>32.254802703857422</v>
      </c>
      <c r="H121" s="247">
        <v>54.430313110351563</v>
      </c>
    </row>
    <row r="122" spans="2:8">
      <c r="B122" s="247" t="s">
        <v>233</v>
      </c>
      <c r="C122" s="247" t="s">
        <v>232</v>
      </c>
      <c r="D122" s="247">
        <v>-1</v>
      </c>
      <c r="E122" s="247">
        <v>209</v>
      </c>
      <c r="F122" s="247">
        <v>681.4287109375</v>
      </c>
      <c r="G122" s="247">
        <v>21.285747528076172</v>
      </c>
      <c r="H122" s="247">
        <v>31.71417236328125</v>
      </c>
    </row>
    <row r="123" spans="2:8">
      <c r="B123" s="247" t="s">
        <v>468</v>
      </c>
      <c r="C123" s="247" t="s">
        <v>232</v>
      </c>
      <c r="D123" s="247">
        <v>-1</v>
      </c>
      <c r="E123" s="247">
        <v>161.4840087890625</v>
      </c>
      <c r="F123" s="247">
        <v>1083.81689453125</v>
      </c>
      <c r="G123" s="247">
        <v>19.045354843139648</v>
      </c>
      <c r="H123" s="247">
        <v>93.124412536621094</v>
      </c>
    </row>
    <row r="124" spans="2:8">
      <c r="B124" s="247" t="s">
        <v>469</v>
      </c>
      <c r="C124" s="247" t="s">
        <v>232</v>
      </c>
      <c r="D124" s="247">
        <v>-1</v>
      </c>
      <c r="E124" s="247">
        <v>367.04827880859375</v>
      </c>
      <c r="F124" s="247">
        <v>1076.35302734375</v>
      </c>
      <c r="G124" s="247">
        <v>21.099527359008789</v>
      </c>
      <c r="H124" s="247">
        <v>137.64707946777344</v>
      </c>
    </row>
    <row r="125" spans="2:8">
      <c r="B125" s="247" t="s">
        <v>470</v>
      </c>
      <c r="C125" s="247" t="s">
        <v>232</v>
      </c>
      <c r="D125" s="247">
        <v>-1</v>
      </c>
      <c r="E125" s="247">
        <v>543.11773681640625</v>
      </c>
      <c r="F125" s="247">
        <v>1142.630859375</v>
      </c>
      <c r="G125" s="247">
        <v>39.706062316894531</v>
      </c>
      <c r="H125" s="247">
        <v>53.722126007080078</v>
      </c>
    </row>
    <row r="126" spans="2:8">
      <c r="B126" s="247" t="s">
        <v>471</v>
      </c>
      <c r="C126" s="247" t="s">
        <v>232</v>
      </c>
      <c r="D126" s="247">
        <v>-1</v>
      </c>
      <c r="E126" s="247">
        <v>536.72918701171875</v>
      </c>
      <c r="F126" s="247">
        <v>714.8333740234375</v>
      </c>
      <c r="G126" s="247">
        <v>17.620000839233398</v>
      </c>
      <c r="H126" s="247">
        <v>182.88322448730469</v>
      </c>
    </row>
    <row r="127" spans="2:8">
      <c r="B127" s="247" t="s">
        <v>472</v>
      </c>
      <c r="C127" s="247" t="s">
        <v>232</v>
      </c>
      <c r="D127" s="247">
        <v>-1</v>
      </c>
      <c r="E127" s="247">
        <v>483.66668701171875</v>
      </c>
      <c r="F127" s="247">
        <v>647.9742431640625</v>
      </c>
      <c r="G127" s="247">
        <v>33.725433349609375</v>
      </c>
      <c r="H127" s="247">
        <v>54.430313110351563</v>
      </c>
    </row>
    <row r="128" spans="2:8">
      <c r="B128" s="247" t="s">
        <v>234</v>
      </c>
      <c r="C128" s="247" t="s">
        <v>232</v>
      </c>
      <c r="D128" s="247">
        <v>-1</v>
      </c>
      <c r="E128" s="247">
        <v>522</v>
      </c>
      <c r="F128" s="247">
        <v>681.4287109375</v>
      </c>
      <c r="G128" s="247">
        <v>27.285747528076172</v>
      </c>
      <c r="H128" s="247">
        <v>31.71417236328125</v>
      </c>
    </row>
    <row r="129" spans="2:8">
      <c r="B129" s="247" t="s">
        <v>235</v>
      </c>
      <c r="C129" s="247" t="s">
        <v>232</v>
      </c>
      <c r="D129" s="247">
        <v>0</v>
      </c>
      <c r="E129" s="247">
        <v>615</v>
      </c>
      <c r="F129" s="247">
        <v>821.25</v>
      </c>
      <c r="G129" s="247">
        <v>84.75</v>
      </c>
      <c r="H129" s="247">
        <v>221.25</v>
      </c>
    </row>
    <row r="130" spans="2:8">
      <c r="B130" s="247" t="s">
        <v>473</v>
      </c>
      <c r="C130" s="247" t="s">
        <v>390</v>
      </c>
      <c r="D130" s="247">
        <v>-1</v>
      </c>
      <c r="E130" s="247">
        <v>133.5</v>
      </c>
      <c r="F130" s="247">
        <v>421.5</v>
      </c>
      <c r="G130" s="247">
        <v>3.5999212265014648</v>
      </c>
      <c r="H130" s="247">
        <v>24</v>
      </c>
    </row>
    <row r="131" spans="2:8">
      <c r="B131" s="247" t="s">
        <v>474</v>
      </c>
      <c r="C131" s="247" t="s">
        <v>390</v>
      </c>
      <c r="D131" s="247">
        <v>-1</v>
      </c>
      <c r="E131" s="247">
        <v>18.75</v>
      </c>
      <c r="F131" s="247">
        <v>36.000080108642578</v>
      </c>
      <c r="G131" s="247">
        <v>34.5</v>
      </c>
      <c r="H131" s="247">
        <v>153.74992370605469</v>
      </c>
    </row>
    <row r="132" spans="2:8">
      <c r="B132" s="247" t="s">
        <v>332</v>
      </c>
      <c r="C132" s="247" t="s">
        <v>390</v>
      </c>
      <c r="D132" s="247">
        <v>0</v>
      </c>
      <c r="E132" s="247">
        <v>249.75</v>
      </c>
      <c r="F132" s="247">
        <v>417</v>
      </c>
      <c r="G132" s="247">
        <v>57</v>
      </c>
      <c r="H132" s="247">
        <v>201.75</v>
      </c>
    </row>
    <row r="133" spans="2:8">
      <c r="B133" s="247" t="s">
        <v>274</v>
      </c>
      <c r="C133" s="247" t="s">
        <v>245</v>
      </c>
      <c r="D133" s="247">
        <v>-1</v>
      </c>
      <c r="E133" s="247">
        <v>13</v>
      </c>
      <c r="F133" s="247">
        <v>1352.817626953125</v>
      </c>
      <c r="G133" s="247">
        <v>25.052047729492188</v>
      </c>
      <c r="H133" s="247">
        <v>137.52433776855469</v>
      </c>
    </row>
    <row r="134" spans="2:8">
      <c r="B134" s="247" t="s">
        <v>273</v>
      </c>
      <c r="C134" s="247" t="s">
        <v>245</v>
      </c>
      <c r="D134" s="247">
        <v>-1</v>
      </c>
      <c r="E134" s="247">
        <v>13</v>
      </c>
      <c r="F134" s="247">
        <v>1230.443359375</v>
      </c>
      <c r="G134" s="247">
        <v>25.052047729492188</v>
      </c>
      <c r="H134" s="247">
        <v>137.37432861328125</v>
      </c>
    </row>
    <row r="135" spans="2:8">
      <c r="B135" s="247" t="s">
        <v>247</v>
      </c>
      <c r="C135" s="247" t="s">
        <v>245</v>
      </c>
      <c r="D135" s="247">
        <v>-1</v>
      </c>
      <c r="E135" s="247">
        <v>13</v>
      </c>
      <c r="F135" s="247">
        <v>1110.1689453125</v>
      </c>
      <c r="G135" s="247">
        <v>25.052047729492188</v>
      </c>
      <c r="H135" s="247">
        <v>135.27433776855469</v>
      </c>
    </row>
    <row r="136" spans="2:8">
      <c r="B136" s="247" t="s">
        <v>246</v>
      </c>
      <c r="C136" s="247" t="s">
        <v>245</v>
      </c>
      <c r="D136" s="247">
        <v>-1</v>
      </c>
      <c r="E136" s="247">
        <v>13</v>
      </c>
      <c r="F136" s="247">
        <v>986.8946533203125</v>
      </c>
      <c r="G136" s="247">
        <v>25.052047729492188</v>
      </c>
      <c r="H136" s="247">
        <v>138.27433776855469</v>
      </c>
    </row>
    <row r="137" spans="2:8">
      <c r="B137" s="247" t="s">
        <v>243</v>
      </c>
      <c r="C137" s="247" t="s">
        <v>245</v>
      </c>
      <c r="D137" s="247">
        <v>-1</v>
      </c>
      <c r="E137" s="247">
        <v>13</v>
      </c>
      <c r="F137" s="247">
        <v>741.39599609375</v>
      </c>
      <c r="G137" s="247">
        <v>25.052047729492188</v>
      </c>
      <c r="H137" s="247">
        <v>138.42433166503906</v>
      </c>
    </row>
    <row r="138" spans="2:8">
      <c r="B138" s="247" t="s">
        <v>242</v>
      </c>
      <c r="C138" s="247" t="s">
        <v>245</v>
      </c>
      <c r="D138" s="247">
        <v>-1</v>
      </c>
      <c r="E138" s="247">
        <v>13</v>
      </c>
      <c r="F138" s="247">
        <v>620.2216796875</v>
      </c>
      <c r="G138" s="247">
        <v>25.052047729492188</v>
      </c>
      <c r="H138" s="247">
        <v>136.02433776855469</v>
      </c>
    </row>
    <row r="139" spans="2:8">
      <c r="B139" s="247" t="s">
        <v>241</v>
      </c>
      <c r="C139" s="247" t="s">
        <v>245</v>
      </c>
      <c r="D139" s="247">
        <v>-1</v>
      </c>
      <c r="E139" s="247">
        <v>13</v>
      </c>
      <c r="F139" s="247">
        <v>496.94732666015625</v>
      </c>
      <c r="G139" s="247">
        <v>25.052047729492188</v>
      </c>
      <c r="H139" s="247">
        <v>138.27433776855469</v>
      </c>
    </row>
    <row r="140" spans="2:8">
      <c r="B140" s="247" t="s">
        <v>240</v>
      </c>
      <c r="C140" s="247" t="s">
        <v>245</v>
      </c>
      <c r="D140" s="247">
        <v>-1</v>
      </c>
      <c r="E140" s="247">
        <v>13</v>
      </c>
      <c r="F140" s="247">
        <v>375.62298583984375</v>
      </c>
      <c r="G140" s="247">
        <v>25.052047729492188</v>
      </c>
      <c r="H140" s="247">
        <v>138.42433166503906</v>
      </c>
    </row>
    <row r="141" spans="2:8">
      <c r="B141" s="247" t="s">
        <v>239</v>
      </c>
      <c r="C141" s="247" t="s">
        <v>245</v>
      </c>
      <c r="D141" s="247">
        <v>-1</v>
      </c>
      <c r="E141" s="247">
        <v>13</v>
      </c>
      <c r="F141" s="247">
        <v>252.34866333007813</v>
      </c>
      <c r="G141" s="247">
        <v>25.052047729492188</v>
      </c>
      <c r="H141" s="247">
        <v>138.42433166503906</v>
      </c>
    </row>
    <row r="142" spans="2:8">
      <c r="B142" s="247" t="s">
        <v>238</v>
      </c>
      <c r="C142" s="247" t="s">
        <v>245</v>
      </c>
      <c r="D142" s="247">
        <v>-1</v>
      </c>
      <c r="E142" s="247">
        <v>13</v>
      </c>
      <c r="F142" s="247">
        <v>130.87432861328125</v>
      </c>
      <c r="G142" s="247">
        <v>25.052047729492188</v>
      </c>
      <c r="H142" s="247">
        <v>138.57432556152344</v>
      </c>
    </row>
    <row r="143" spans="2:8">
      <c r="B143" s="247" t="s">
        <v>237</v>
      </c>
      <c r="C143" s="247" t="s">
        <v>245</v>
      </c>
      <c r="D143" s="247">
        <v>-1</v>
      </c>
      <c r="E143" s="247">
        <v>13</v>
      </c>
      <c r="F143" s="247">
        <v>10.149999618530273</v>
      </c>
      <c r="G143" s="247">
        <v>25.052047729492188</v>
      </c>
      <c r="H143" s="247">
        <v>135.72433471679688</v>
      </c>
    </row>
    <row r="144" spans="2:8">
      <c r="B144" s="247" t="s">
        <v>222</v>
      </c>
      <c r="C144" s="247" t="s">
        <v>245</v>
      </c>
      <c r="D144" s="247">
        <v>-1</v>
      </c>
      <c r="E144" s="247">
        <v>247.5</v>
      </c>
      <c r="F144" s="247">
        <v>12</v>
      </c>
      <c r="G144" s="247">
        <v>44.25</v>
      </c>
      <c r="H144" s="247">
        <v>221.25</v>
      </c>
    </row>
    <row r="145" spans="2:8">
      <c r="B145" s="247" t="s">
        <v>249</v>
      </c>
      <c r="C145" s="247" t="s">
        <v>245</v>
      </c>
      <c r="D145" s="247">
        <v>-1</v>
      </c>
      <c r="E145" s="247">
        <v>85.417083740234375</v>
      </c>
      <c r="F145" s="247">
        <v>256.07568359375</v>
      </c>
      <c r="G145" s="247">
        <v>26.252046585083008</v>
      </c>
      <c r="H145" s="247">
        <v>138.42433166503906</v>
      </c>
    </row>
    <row r="146" spans="2:8">
      <c r="B146" s="247" t="s">
        <v>250</v>
      </c>
      <c r="C146" s="247" t="s">
        <v>245</v>
      </c>
      <c r="D146" s="247">
        <v>-1</v>
      </c>
      <c r="E146" s="247">
        <v>50.667087554931641</v>
      </c>
      <c r="F146" s="247">
        <v>253.57566833496094</v>
      </c>
      <c r="G146" s="247">
        <v>25.052047729492188</v>
      </c>
      <c r="H146" s="247">
        <v>138.42433166503906</v>
      </c>
    </row>
    <row r="147" spans="2:8">
      <c r="B147" s="247" t="s">
        <v>251</v>
      </c>
      <c r="C147" s="247" t="s">
        <v>245</v>
      </c>
      <c r="D147" s="247">
        <v>-1</v>
      </c>
      <c r="E147" s="247">
        <v>251.25</v>
      </c>
      <c r="F147" s="247">
        <v>674.25</v>
      </c>
      <c r="G147" s="247">
        <v>28.5</v>
      </c>
      <c r="H147" s="247">
        <v>159</v>
      </c>
    </row>
    <row r="148" spans="2:8">
      <c r="B148" s="247" t="s">
        <v>244</v>
      </c>
      <c r="C148" s="247" t="s">
        <v>245</v>
      </c>
      <c r="D148" s="247">
        <v>-1</v>
      </c>
      <c r="E148" s="247">
        <v>13</v>
      </c>
      <c r="F148" s="247">
        <v>864.8203125</v>
      </c>
      <c r="G148" s="247">
        <v>25.052047729492188</v>
      </c>
      <c r="H148" s="247">
        <v>137.07432556152344</v>
      </c>
    </row>
    <row r="149" spans="2:8">
      <c r="B149" s="247" t="s">
        <v>328</v>
      </c>
      <c r="C149" s="247" t="s">
        <v>245</v>
      </c>
      <c r="D149" s="247">
        <v>0</v>
      </c>
      <c r="E149" s="247">
        <v>318</v>
      </c>
      <c r="F149" s="247">
        <v>704.25</v>
      </c>
      <c r="G149" s="247">
        <v>45</v>
      </c>
      <c r="H149" s="247">
        <v>113.25</v>
      </c>
    </row>
    <row r="150" spans="2:8">
      <c r="B150" s="247" t="s">
        <v>235</v>
      </c>
      <c r="C150" s="247" t="s">
        <v>245</v>
      </c>
      <c r="D150" s="247">
        <v>0</v>
      </c>
      <c r="E150" s="247">
        <v>318</v>
      </c>
      <c r="F150" s="247">
        <v>811.5</v>
      </c>
      <c r="G150" s="247">
        <v>63</v>
      </c>
      <c r="H150" s="247">
        <v>114</v>
      </c>
    </row>
    <row r="151" spans="2:8">
      <c r="B151" s="247" t="s">
        <v>329</v>
      </c>
      <c r="C151" s="247" t="s">
        <v>245</v>
      </c>
      <c r="D151" s="247">
        <v>0</v>
      </c>
      <c r="E151" s="247">
        <v>318</v>
      </c>
      <c r="F151" s="247">
        <v>1085.25</v>
      </c>
      <c r="G151" s="247">
        <v>63</v>
      </c>
      <c r="H151" s="247">
        <v>112.5</v>
      </c>
    </row>
    <row r="152" spans="2:8">
      <c r="B152" s="247" t="s">
        <v>330</v>
      </c>
      <c r="C152" s="247" t="s">
        <v>245</v>
      </c>
      <c r="D152" s="247">
        <v>0</v>
      </c>
      <c r="E152" s="247">
        <v>318</v>
      </c>
      <c r="F152" s="247">
        <v>1000.5</v>
      </c>
      <c r="G152" s="247">
        <v>63</v>
      </c>
      <c r="H152" s="247">
        <v>111.75</v>
      </c>
    </row>
    <row r="153" spans="2:8">
      <c r="B153" s="247" t="s">
        <v>331</v>
      </c>
      <c r="C153" s="247" t="s">
        <v>245</v>
      </c>
      <c r="D153" s="247">
        <v>0</v>
      </c>
      <c r="E153" s="247">
        <v>318</v>
      </c>
      <c r="F153" s="247">
        <v>885</v>
      </c>
      <c r="G153" s="247">
        <v>63</v>
      </c>
      <c r="H153" s="247">
        <v>112.5</v>
      </c>
    </row>
    <row r="154" spans="2:8">
      <c r="B154" s="247" t="s">
        <v>332</v>
      </c>
      <c r="C154" s="247" t="s">
        <v>327</v>
      </c>
      <c r="D154" s="247">
        <v>0</v>
      </c>
      <c r="E154" s="247">
        <v>224.25</v>
      </c>
      <c r="F154" s="247">
        <v>627.75</v>
      </c>
      <c r="G154" s="247">
        <v>38.25</v>
      </c>
      <c r="H154" s="247">
        <v>551.25</v>
      </c>
    </row>
    <row r="155" spans="2:8">
      <c r="B155" s="247" t="s">
        <v>333</v>
      </c>
      <c r="C155" s="247" t="s">
        <v>327</v>
      </c>
      <c r="D155" s="247">
        <v>0</v>
      </c>
      <c r="E155" s="247">
        <v>412.5</v>
      </c>
      <c r="F155" s="247">
        <v>556.5</v>
      </c>
      <c r="G155" s="247">
        <v>28.5</v>
      </c>
      <c r="H155" s="247">
        <v>574.5</v>
      </c>
    </row>
    <row r="156" spans="2:8">
      <c r="B156" s="247" t="s">
        <v>328</v>
      </c>
      <c r="C156" s="247" t="s">
        <v>327</v>
      </c>
      <c r="D156" s="247">
        <v>0</v>
      </c>
      <c r="E156" s="247">
        <v>501.75</v>
      </c>
      <c r="F156" s="247">
        <v>897</v>
      </c>
      <c r="G156" s="247">
        <v>38.25</v>
      </c>
      <c r="H156" s="247">
        <v>40.5</v>
      </c>
    </row>
    <row r="157" spans="2:8">
      <c r="B157" s="247" t="s">
        <v>235</v>
      </c>
      <c r="C157" s="247" t="s">
        <v>327</v>
      </c>
      <c r="D157" s="247">
        <v>0</v>
      </c>
      <c r="E157" s="247">
        <v>680.25</v>
      </c>
      <c r="F157" s="247">
        <v>648.75</v>
      </c>
      <c r="G157" s="247">
        <v>28.5</v>
      </c>
      <c r="H157" s="247">
        <v>530.25</v>
      </c>
    </row>
    <row r="158" spans="2:8">
      <c r="B158" s="247" t="s">
        <v>329</v>
      </c>
      <c r="C158" s="247" t="s">
        <v>327</v>
      </c>
      <c r="D158" s="247">
        <v>0</v>
      </c>
      <c r="E158" s="247">
        <v>782.25</v>
      </c>
      <c r="F158" s="247">
        <v>897</v>
      </c>
      <c r="G158" s="247">
        <v>38.25</v>
      </c>
      <c r="H158" s="247">
        <v>40.5</v>
      </c>
    </row>
    <row r="159" spans="2:8">
      <c r="B159" s="247" t="s">
        <v>330</v>
      </c>
      <c r="C159" s="247" t="s">
        <v>327</v>
      </c>
      <c r="D159" s="247">
        <v>0</v>
      </c>
      <c r="E159" s="247">
        <v>960.75</v>
      </c>
      <c r="F159" s="247">
        <v>648.75</v>
      </c>
      <c r="G159" s="247">
        <v>28.5</v>
      </c>
      <c r="H159" s="247">
        <v>530.25</v>
      </c>
    </row>
  </sheetData>
  <sheetProtection selectLockedCells="1"/>
  <pageMargins left="0.7" right="0.7" top="0.75" bottom="0.75" header="0.3" footer="0.3"/>
  <pageSetup paperSize="9" orientation="portrait" horizontalDpi="4294967293" r:id="rId1"/>
  <drawing r:id="rId2"/>
  <legacyDrawing r:id="rId3"/>
  <controls>
    <mc:AlternateContent xmlns:mc="http://schemas.openxmlformats.org/markup-compatibility/2006">
      <mc:Choice Requires="x14">
        <control shapeId="5122" r:id="rId4" name="cmdLagFliker">
          <controlPr defaultSize="0" print="0" autoLine="0" r:id="rId5">
            <anchor moveWithCells="1">
              <from>
                <xdr:col>9</xdr:col>
                <xdr:colOff>38100</xdr:colOff>
                <xdr:row>19</xdr:row>
                <xdr:rowOff>68580</xdr:rowOff>
              </from>
              <to>
                <xdr:col>10</xdr:col>
                <xdr:colOff>1112520</xdr:colOff>
                <xdr:row>21</xdr:row>
                <xdr:rowOff>137160</xdr:rowOff>
              </to>
            </anchor>
          </controlPr>
        </control>
      </mc:Choice>
      <mc:Fallback>
        <control shapeId="5122" r:id="rId4" name="cmdLagFliker"/>
      </mc:Fallback>
    </mc:AlternateContent>
    <mc:AlternateContent xmlns:mc="http://schemas.openxmlformats.org/markup-compatibility/2006">
      <mc:Choice Requires="x14">
        <control shapeId="5121" r:id="rId6" name="cmdLagreObjPos">
          <controlPr defaultSize="0" print="0" autoLine="0" r:id="rId7">
            <anchor moveWithCells="1">
              <from>
                <xdr:col>1</xdr:col>
                <xdr:colOff>30480</xdr:colOff>
                <xdr:row>19</xdr:row>
                <xdr:rowOff>7620</xdr:rowOff>
              </from>
              <to>
                <xdr:col>3</xdr:col>
                <xdr:colOff>510540</xdr:colOff>
                <xdr:row>22</xdr:row>
                <xdr:rowOff>137160</xdr:rowOff>
              </to>
            </anchor>
          </controlPr>
        </control>
      </mc:Choice>
      <mc:Fallback>
        <control shapeId="5121" r:id="rId6" name="cmdLagreObjPos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wsSluttDato"/>
  <dimension ref="B2:Q638"/>
  <sheetViews>
    <sheetView workbookViewId="0"/>
  </sheetViews>
  <sheetFormatPr baseColWidth="10" defaultColWidth="9" defaultRowHeight="11.4"/>
  <cols>
    <col min="1" max="1" width="1.3984375" style="194" customWidth="1"/>
    <col min="2" max="2" width="25.8984375" style="194" customWidth="1"/>
    <col min="3" max="3" width="11.8984375" style="195" customWidth="1"/>
    <col min="4" max="4" width="8.3984375" style="196" customWidth="1"/>
    <col min="5" max="5" width="12.8984375" style="200" customWidth="1"/>
    <col min="6" max="7" width="9.8984375" style="196" customWidth="1"/>
    <col min="8" max="8" width="14" style="198" customWidth="1"/>
    <col min="9" max="10" width="8.8984375" style="196" customWidth="1"/>
    <col min="11" max="11" width="9.09765625" style="194" customWidth="1"/>
    <col min="12" max="12" width="9.09765625" style="195" customWidth="1"/>
    <col min="13" max="13" width="20.8984375" style="194" customWidth="1"/>
    <col min="14" max="14" width="12.09765625" style="194" customWidth="1"/>
    <col min="15" max="16" width="9" style="194"/>
    <col min="17" max="17" width="9" style="503"/>
    <col min="18" max="16384" width="9" style="194"/>
  </cols>
  <sheetData>
    <row r="2" spans="2:17">
      <c r="E2" s="197" t="s">
        <v>287</v>
      </c>
    </row>
    <row r="3" spans="2:17">
      <c r="B3" s="194" t="s">
        <v>288</v>
      </c>
      <c r="C3" s="199">
        <v>43812</v>
      </c>
      <c r="E3" s="200" t="s">
        <v>288</v>
      </c>
    </row>
    <row r="4" spans="2:17">
      <c r="B4" s="194" t="s">
        <v>289</v>
      </c>
      <c r="C4" s="201">
        <v>7</v>
      </c>
      <c r="E4" s="200" t="s">
        <v>290</v>
      </c>
    </row>
    <row r="5" spans="2:17" ht="12.6" thickBot="1">
      <c r="B5" s="202" t="s">
        <v>291</v>
      </c>
      <c r="C5" s="203">
        <f>INDEX(DatoTab,MATCH("Til",INDEX(DatoTab,,1),0),2)</f>
        <v>43822</v>
      </c>
      <c r="E5" s="200" t="s">
        <v>292</v>
      </c>
    </row>
    <row r="6" spans="2:17" ht="12" thickTop="1"/>
    <row r="7" spans="2:17" ht="12">
      <c r="B7" s="204" t="s">
        <v>293</v>
      </c>
      <c r="C7" s="205">
        <f>Til-Fra</f>
        <v>10</v>
      </c>
      <c r="F7" s="206"/>
    </row>
    <row r="10" spans="2:17" ht="17.399999999999999">
      <c r="B10" s="207" t="s">
        <v>294</v>
      </c>
      <c r="M10" s="208" t="s">
        <v>295</v>
      </c>
    </row>
    <row r="11" spans="2:17" ht="12" thickBot="1"/>
    <row r="12" spans="2:17" s="212" customFormat="1" ht="24">
      <c r="B12" s="209" t="s">
        <v>296</v>
      </c>
      <c r="C12" s="209" t="s">
        <v>297</v>
      </c>
      <c r="D12" s="210" t="s">
        <v>298</v>
      </c>
      <c r="E12" s="211" t="s">
        <v>299</v>
      </c>
      <c r="F12" s="210" t="s">
        <v>300</v>
      </c>
      <c r="G12" s="210" t="s">
        <v>301</v>
      </c>
      <c r="H12" s="210" t="s">
        <v>302</v>
      </c>
      <c r="I12" s="210" t="s">
        <v>303</v>
      </c>
      <c r="J12" s="210" t="s">
        <v>304</v>
      </c>
      <c r="L12" s="212" t="s">
        <v>305</v>
      </c>
      <c r="M12" s="213" t="s">
        <v>306</v>
      </c>
      <c r="N12" s="214" t="s">
        <v>297</v>
      </c>
      <c r="Q12" s="206" t="s">
        <v>475</v>
      </c>
    </row>
    <row r="13" spans="2:17" ht="13.2">
      <c r="B13" s="215" t="s">
        <v>288</v>
      </c>
      <c r="C13" s="216">
        <f>Fra</f>
        <v>43812</v>
      </c>
      <c r="D13" s="217">
        <f>WEEKDAY(C13,11)</f>
        <v>5</v>
      </c>
      <c r="E13" s="218">
        <f>C13</f>
        <v>43812</v>
      </c>
      <c r="F13" s="217">
        <f>IFERROR(MATCH(C13,INDEX(caHellig,,2),0),0)</f>
        <v>0</v>
      </c>
      <c r="G13" s="219" t="str">
        <f>IF(F13&gt;0,INDEX(caHellig,F13,2),"")</f>
        <v/>
      </c>
      <c r="H13" s="220" t="str">
        <f>IF(F13&gt;0,INDEX(caHellig,F13,1),"")</f>
        <v/>
      </c>
      <c r="I13" s="221">
        <f t="shared" ref="I13:I77" si="0">IF(C13="","",IF(OR(D13&gt;5,F13,0),1,0))</f>
        <v>0</v>
      </c>
      <c r="J13" s="221">
        <f>IF(C13="","",IF(I13=0,1,0))</f>
        <v>1</v>
      </c>
      <c r="L13" s="222">
        <f>YEAR(Fra)</f>
        <v>2019</v>
      </c>
      <c r="M13" s="223" t="s">
        <v>307</v>
      </c>
      <c r="N13" s="224"/>
      <c r="O13" s="225"/>
      <c r="Q13" s="504">
        <f ca="1">TODAY()</f>
        <v>43857</v>
      </c>
    </row>
    <row r="14" spans="2:17" ht="13.2">
      <c r="B14" s="226" t="str">
        <f>IF(J14=AntArbDager,"Til","")</f>
        <v/>
      </c>
      <c r="C14" s="227">
        <f>C13+1</f>
        <v>43813</v>
      </c>
      <c r="D14" s="228">
        <f t="shared" ref="D14:D78" si="1">IF(C14&lt;&gt;"",WEEKDAY(C14,2),"")</f>
        <v>6</v>
      </c>
      <c r="E14" s="229">
        <f t="shared" ref="E14:E77" si="2">C14</f>
        <v>43813</v>
      </c>
      <c r="F14" s="228">
        <f t="shared" ref="F14:F77" si="3">IF(C14="","",IFERROR(MATCH(C14,INDEX(caHellig,,2),0),0))</f>
        <v>0</v>
      </c>
      <c r="G14" s="230" t="str">
        <f t="shared" ref="G14:G77" si="4">IF(C14="","",IF(F14&gt;0,INDEX(caHellig,F14,2),""))</f>
        <v/>
      </c>
      <c r="H14" s="231" t="str">
        <f t="shared" ref="H14:H77" si="5">IF(C14="","",IF(F14&gt;0,INDEX(caHellig,F14,1),""))</f>
        <v/>
      </c>
      <c r="I14" s="228">
        <f t="shared" si="0"/>
        <v>1</v>
      </c>
      <c r="J14" s="228">
        <f t="shared" ref="J14:J77" si="6">IF(C14="","",IF(I14=0,J13+1,J13))</f>
        <v>1</v>
      </c>
      <c r="L14" s="232"/>
      <c r="M14" s="233" t="s">
        <v>308</v>
      </c>
      <c r="N14" s="234">
        <f>N15-4</f>
        <v>43569</v>
      </c>
      <c r="O14" s="225"/>
      <c r="Q14" s="504">
        <f ca="1">Q13+1</f>
        <v>43858</v>
      </c>
    </row>
    <row r="15" spans="2:17" ht="13.2">
      <c r="B15" s="226" t="str">
        <f t="shared" ref="B15:B77" si="7">IF(J15=$C$4,"Til","")</f>
        <v/>
      </c>
      <c r="C15" s="227">
        <f t="shared" ref="C15:C78" si="8">C14+1</f>
        <v>43814</v>
      </c>
      <c r="D15" s="228">
        <f t="shared" si="1"/>
        <v>7</v>
      </c>
      <c r="E15" s="229">
        <f t="shared" si="2"/>
        <v>43814</v>
      </c>
      <c r="F15" s="228">
        <f t="shared" si="3"/>
        <v>0</v>
      </c>
      <c r="G15" s="230" t="str">
        <f t="shared" si="4"/>
        <v/>
      </c>
      <c r="H15" s="231" t="str">
        <f t="shared" si="5"/>
        <v/>
      </c>
      <c r="I15" s="228">
        <f t="shared" si="0"/>
        <v>1</v>
      </c>
      <c r="J15" s="228">
        <f t="shared" si="6"/>
        <v>1</v>
      </c>
      <c r="L15" s="232"/>
      <c r="M15" s="233" t="s">
        <v>309</v>
      </c>
      <c r="N15" s="234">
        <f>N16-1</f>
        <v>43573</v>
      </c>
      <c r="O15" s="225"/>
      <c r="Q15" s="504">
        <f t="shared" ref="Q15:Q78" ca="1" si="9">Q14+1</f>
        <v>43859</v>
      </c>
    </row>
    <row r="16" spans="2:17" ht="13.2">
      <c r="B16" s="226" t="str">
        <f t="shared" si="7"/>
        <v/>
      </c>
      <c r="C16" s="227">
        <f t="shared" si="8"/>
        <v>43815</v>
      </c>
      <c r="D16" s="228">
        <f t="shared" si="1"/>
        <v>1</v>
      </c>
      <c r="E16" s="229">
        <f t="shared" si="2"/>
        <v>43815</v>
      </c>
      <c r="F16" s="228">
        <f t="shared" si="3"/>
        <v>0</v>
      </c>
      <c r="G16" s="230" t="str">
        <f t="shared" si="4"/>
        <v/>
      </c>
      <c r="H16" s="231" t="str">
        <f t="shared" si="5"/>
        <v/>
      </c>
      <c r="I16" s="228">
        <f t="shared" si="0"/>
        <v>0</v>
      </c>
      <c r="J16" s="228">
        <f t="shared" si="6"/>
        <v>2</v>
      </c>
      <c r="L16" s="232"/>
      <c r="M16" s="233" t="s">
        <v>310</v>
      </c>
      <c r="N16" s="234">
        <f>N17-1</f>
        <v>43574</v>
      </c>
      <c r="O16" s="225"/>
      <c r="Q16" s="504">
        <f t="shared" ca="1" si="9"/>
        <v>43860</v>
      </c>
    </row>
    <row r="17" spans="2:17" ht="13.2">
      <c r="B17" s="226" t="str">
        <f t="shared" si="7"/>
        <v/>
      </c>
      <c r="C17" s="227">
        <f t="shared" si="8"/>
        <v>43816</v>
      </c>
      <c r="D17" s="228">
        <f t="shared" si="1"/>
        <v>2</v>
      </c>
      <c r="E17" s="229">
        <f t="shared" si="2"/>
        <v>43816</v>
      </c>
      <c r="F17" s="228">
        <f t="shared" si="3"/>
        <v>0</v>
      </c>
      <c r="G17" s="230" t="str">
        <f t="shared" si="4"/>
        <v/>
      </c>
      <c r="H17" s="231" t="str">
        <f t="shared" si="5"/>
        <v/>
      </c>
      <c r="I17" s="228">
        <f t="shared" si="0"/>
        <v>0</v>
      </c>
      <c r="J17" s="228">
        <f t="shared" si="6"/>
        <v>3</v>
      </c>
      <c r="L17" s="232"/>
      <c r="M17" s="233" t="s">
        <v>311</v>
      </c>
      <c r="N17" s="234">
        <f>N18-1</f>
        <v>43575</v>
      </c>
      <c r="O17" s="225"/>
      <c r="Q17" s="504">
        <f t="shared" ca="1" si="9"/>
        <v>43861</v>
      </c>
    </row>
    <row r="18" spans="2:17" ht="13.2">
      <c r="B18" s="226" t="str">
        <f t="shared" si="7"/>
        <v/>
      </c>
      <c r="C18" s="227">
        <f t="shared" si="8"/>
        <v>43817</v>
      </c>
      <c r="D18" s="228">
        <f t="shared" si="1"/>
        <v>3</v>
      </c>
      <c r="E18" s="229">
        <f t="shared" si="2"/>
        <v>43817</v>
      </c>
      <c r="F18" s="228">
        <f t="shared" si="3"/>
        <v>0</v>
      </c>
      <c r="G18" s="230" t="str">
        <f t="shared" si="4"/>
        <v/>
      </c>
      <c r="H18" s="231" t="str">
        <f t="shared" si="5"/>
        <v/>
      </c>
      <c r="I18" s="228">
        <f t="shared" si="0"/>
        <v>0</v>
      </c>
      <c r="J18" s="228">
        <f t="shared" si="6"/>
        <v>4</v>
      </c>
      <c r="L18" s="232"/>
      <c r="M18" s="233" t="s">
        <v>312</v>
      </c>
      <c r="N18" s="235">
        <f>FLOOR(DAY(MINUTE(cAar/38)/2+56)&amp;"/5/"&amp;cAar,7)-34</f>
        <v>43576</v>
      </c>
      <c r="O18" s="225"/>
      <c r="Q18" s="504">
        <f t="shared" ca="1" si="9"/>
        <v>43862</v>
      </c>
    </row>
    <row r="19" spans="2:17" ht="13.2">
      <c r="B19" s="226" t="str">
        <f t="shared" si="7"/>
        <v/>
      </c>
      <c r="C19" s="227">
        <f t="shared" si="8"/>
        <v>43818</v>
      </c>
      <c r="D19" s="228">
        <f t="shared" si="1"/>
        <v>4</v>
      </c>
      <c r="E19" s="229">
        <f t="shared" si="2"/>
        <v>43818</v>
      </c>
      <c r="F19" s="228">
        <f t="shared" si="3"/>
        <v>0</v>
      </c>
      <c r="G19" s="230" t="str">
        <f t="shared" si="4"/>
        <v/>
      </c>
      <c r="H19" s="231" t="str">
        <f t="shared" si="5"/>
        <v/>
      </c>
      <c r="I19" s="228">
        <f t="shared" si="0"/>
        <v>0</v>
      </c>
      <c r="J19" s="228">
        <f t="shared" si="6"/>
        <v>5</v>
      </c>
      <c r="L19" s="232"/>
      <c r="M19" s="233" t="s">
        <v>313</v>
      </c>
      <c r="N19" s="234">
        <f>N18+1</f>
        <v>43577</v>
      </c>
      <c r="O19" s="225"/>
      <c r="Q19" s="504">
        <f t="shared" ca="1" si="9"/>
        <v>43863</v>
      </c>
    </row>
    <row r="20" spans="2:17" ht="13.2">
      <c r="B20" s="226" t="str">
        <f t="shared" si="7"/>
        <v/>
      </c>
      <c r="C20" s="227">
        <f t="shared" si="8"/>
        <v>43819</v>
      </c>
      <c r="D20" s="228">
        <f t="shared" si="1"/>
        <v>5</v>
      </c>
      <c r="E20" s="229">
        <f t="shared" si="2"/>
        <v>43819</v>
      </c>
      <c r="F20" s="228">
        <f t="shared" si="3"/>
        <v>0</v>
      </c>
      <c r="G20" s="230" t="str">
        <f t="shared" si="4"/>
        <v/>
      </c>
      <c r="H20" s="231" t="str">
        <f t="shared" si="5"/>
        <v/>
      </c>
      <c r="I20" s="228">
        <f t="shared" si="0"/>
        <v>0</v>
      </c>
      <c r="J20" s="228">
        <f t="shared" si="6"/>
        <v>6</v>
      </c>
      <c r="L20" s="232"/>
      <c r="M20" s="233" t="s">
        <v>314</v>
      </c>
      <c r="N20" s="234">
        <f>N17+40</f>
        <v>43615</v>
      </c>
      <c r="O20" s="225"/>
      <c r="Q20" s="504">
        <f t="shared" ca="1" si="9"/>
        <v>43864</v>
      </c>
    </row>
    <row r="21" spans="2:17" ht="13.2">
      <c r="B21" s="226" t="str">
        <f t="shared" si="7"/>
        <v/>
      </c>
      <c r="C21" s="227">
        <f t="shared" si="8"/>
        <v>43820</v>
      </c>
      <c r="D21" s="228">
        <f t="shared" si="1"/>
        <v>6</v>
      </c>
      <c r="E21" s="229">
        <f t="shared" si="2"/>
        <v>43820</v>
      </c>
      <c r="F21" s="228">
        <f t="shared" si="3"/>
        <v>0</v>
      </c>
      <c r="G21" s="230" t="str">
        <f t="shared" si="4"/>
        <v/>
      </c>
      <c r="H21" s="231" t="str">
        <f t="shared" si="5"/>
        <v/>
      </c>
      <c r="I21" s="228">
        <f t="shared" si="0"/>
        <v>1</v>
      </c>
      <c r="J21" s="228">
        <f t="shared" si="6"/>
        <v>6</v>
      </c>
      <c r="L21" s="232"/>
      <c r="M21" s="233" t="s">
        <v>315</v>
      </c>
      <c r="N21" s="234">
        <f>N18+49</f>
        <v>43625</v>
      </c>
      <c r="O21" s="225"/>
      <c r="Q21" s="504">
        <f t="shared" ca="1" si="9"/>
        <v>43865</v>
      </c>
    </row>
    <row r="22" spans="2:17" ht="13.2">
      <c r="B22" s="226" t="str">
        <f t="shared" si="7"/>
        <v/>
      </c>
      <c r="C22" s="227">
        <f t="shared" si="8"/>
        <v>43821</v>
      </c>
      <c r="D22" s="228">
        <f t="shared" si="1"/>
        <v>7</v>
      </c>
      <c r="E22" s="229">
        <f t="shared" si="2"/>
        <v>43821</v>
      </c>
      <c r="F22" s="228">
        <f t="shared" si="3"/>
        <v>0</v>
      </c>
      <c r="G22" s="230" t="str">
        <f t="shared" si="4"/>
        <v/>
      </c>
      <c r="H22" s="231" t="str">
        <f t="shared" si="5"/>
        <v/>
      </c>
      <c r="I22" s="228">
        <f t="shared" si="0"/>
        <v>1</v>
      </c>
      <c r="J22" s="228">
        <f t="shared" si="6"/>
        <v>6</v>
      </c>
      <c r="L22" s="232"/>
      <c r="M22" s="233" t="s">
        <v>316</v>
      </c>
      <c r="N22" s="234">
        <f>N18+50</f>
        <v>43626</v>
      </c>
      <c r="O22" s="225"/>
      <c r="Q22" s="504">
        <f t="shared" ca="1" si="9"/>
        <v>43866</v>
      </c>
    </row>
    <row r="23" spans="2:17" ht="13.2">
      <c r="B23" s="226" t="str">
        <f t="shared" si="7"/>
        <v>Til</v>
      </c>
      <c r="C23" s="227">
        <f t="shared" si="8"/>
        <v>43822</v>
      </c>
      <c r="D23" s="228">
        <f t="shared" si="1"/>
        <v>1</v>
      </c>
      <c r="E23" s="229">
        <f t="shared" si="2"/>
        <v>43822</v>
      </c>
      <c r="F23" s="228">
        <f t="shared" si="3"/>
        <v>0</v>
      </c>
      <c r="G23" s="230" t="str">
        <f t="shared" si="4"/>
        <v/>
      </c>
      <c r="H23" s="231" t="str">
        <f t="shared" si="5"/>
        <v/>
      </c>
      <c r="I23" s="228">
        <f t="shared" si="0"/>
        <v>0</v>
      </c>
      <c r="J23" s="228">
        <f t="shared" si="6"/>
        <v>7</v>
      </c>
      <c r="L23" s="232"/>
      <c r="M23" s="233"/>
      <c r="N23" s="234"/>
      <c r="O23" s="225"/>
      <c r="Q23" s="504">
        <f t="shared" ca="1" si="9"/>
        <v>43867</v>
      </c>
    </row>
    <row r="24" spans="2:17" ht="13.2">
      <c r="B24" s="226" t="str">
        <f t="shared" si="7"/>
        <v>Til</v>
      </c>
      <c r="C24" s="227">
        <f t="shared" si="8"/>
        <v>43823</v>
      </c>
      <c r="D24" s="228">
        <f t="shared" si="1"/>
        <v>2</v>
      </c>
      <c r="E24" s="229">
        <f t="shared" si="2"/>
        <v>43823</v>
      </c>
      <c r="F24" s="228">
        <f t="shared" si="3"/>
        <v>17</v>
      </c>
      <c r="G24" s="230">
        <f t="shared" si="4"/>
        <v>43823</v>
      </c>
      <c r="H24" s="231" t="str">
        <f t="shared" si="5"/>
        <v>Julaften</v>
      </c>
      <c r="I24" s="228">
        <f t="shared" si="0"/>
        <v>1</v>
      </c>
      <c r="J24" s="228">
        <f t="shared" si="6"/>
        <v>7</v>
      </c>
      <c r="L24" s="232"/>
      <c r="M24" s="236" t="s">
        <v>317</v>
      </c>
      <c r="N24" s="234"/>
      <c r="O24" s="225"/>
      <c r="Q24" s="504">
        <f t="shared" ca="1" si="9"/>
        <v>43868</v>
      </c>
    </row>
    <row r="25" spans="2:17" ht="13.2">
      <c r="B25" s="226" t="str">
        <f t="shared" si="7"/>
        <v>Til</v>
      </c>
      <c r="C25" s="227">
        <f t="shared" si="8"/>
        <v>43824</v>
      </c>
      <c r="D25" s="228">
        <f t="shared" si="1"/>
        <v>3</v>
      </c>
      <c r="E25" s="229">
        <f t="shared" si="2"/>
        <v>43824</v>
      </c>
      <c r="F25" s="228">
        <f t="shared" si="3"/>
        <v>18</v>
      </c>
      <c r="G25" s="230">
        <f t="shared" si="4"/>
        <v>43824</v>
      </c>
      <c r="H25" s="231" t="str">
        <f t="shared" si="5"/>
        <v>1. Juledag</v>
      </c>
      <c r="I25" s="228">
        <f t="shared" si="0"/>
        <v>1</v>
      </c>
      <c r="J25" s="228">
        <f t="shared" si="6"/>
        <v>7</v>
      </c>
      <c r="L25" s="232"/>
      <c r="M25" s="233" t="s">
        <v>318</v>
      </c>
      <c r="N25" s="234">
        <f>DATE(cAar,1,1)</f>
        <v>43466</v>
      </c>
      <c r="O25" s="225"/>
      <c r="Q25" s="504">
        <f t="shared" ca="1" si="9"/>
        <v>43869</v>
      </c>
    </row>
    <row r="26" spans="2:17" ht="13.2">
      <c r="B26" s="226" t="str">
        <f t="shared" si="7"/>
        <v>Til</v>
      </c>
      <c r="C26" s="227">
        <f t="shared" si="8"/>
        <v>43825</v>
      </c>
      <c r="D26" s="228">
        <f t="shared" si="1"/>
        <v>4</v>
      </c>
      <c r="E26" s="229">
        <f t="shared" si="2"/>
        <v>43825</v>
      </c>
      <c r="F26" s="228">
        <f t="shared" si="3"/>
        <v>19</v>
      </c>
      <c r="G26" s="230">
        <f t="shared" si="4"/>
        <v>43825</v>
      </c>
      <c r="H26" s="231" t="str">
        <f t="shared" si="5"/>
        <v>2. Juledag</v>
      </c>
      <c r="I26" s="228">
        <f t="shared" si="0"/>
        <v>1</v>
      </c>
      <c r="J26" s="228">
        <f t="shared" si="6"/>
        <v>7</v>
      </c>
      <c r="L26" s="232"/>
      <c r="M26" s="237" t="s">
        <v>319</v>
      </c>
      <c r="N26" s="234">
        <f>DATE(cAar,5,1)</f>
        <v>43586</v>
      </c>
      <c r="O26" s="225"/>
      <c r="Q26" s="504">
        <f t="shared" ca="1" si="9"/>
        <v>43870</v>
      </c>
    </row>
    <row r="27" spans="2:17" ht="13.2">
      <c r="B27" s="226" t="str">
        <f t="shared" si="7"/>
        <v/>
      </c>
      <c r="C27" s="227">
        <f t="shared" si="8"/>
        <v>43826</v>
      </c>
      <c r="D27" s="228">
        <f t="shared" si="1"/>
        <v>5</v>
      </c>
      <c r="E27" s="229">
        <f t="shared" si="2"/>
        <v>43826</v>
      </c>
      <c r="F27" s="228">
        <f t="shared" si="3"/>
        <v>0</v>
      </c>
      <c r="G27" s="230" t="str">
        <f t="shared" si="4"/>
        <v/>
      </c>
      <c r="H27" s="231" t="str">
        <f t="shared" si="5"/>
        <v/>
      </c>
      <c r="I27" s="228">
        <f t="shared" si="0"/>
        <v>0</v>
      </c>
      <c r="J27" s="228">
        <f t="shared" si="6"/>
        <v>8</v>
      </c>
      <c r="L27" s="232"/>
      <c r="M27" s="233" t="s">
        <v>320</v>
      </c>
      <c r="N27" s="234">
        <f>DATE(cAar,5,17)</f>
        <v>43602</v>
      </c>
      <c r="O27" s="225"/>
      <c r="Q27" s="504">
        <f t="shared" ca="1" si="9"/>
        <v>43871</v>
      </c>
    </row>
    <row r="28" spans="2:17" ht="13.2">
      <c r="B28" s="226" t="str">
        <f t="shared" si="7"/>
        <v/>
      </c>
      <c r="C28" s="227">
        <f t="shared" si="8"/>
        <v>43827</v>
      </c>
      <c r="D28" s="228">
        <f t="shared" si="1"/>
        <v>6</v>
      </c>
      <c r="E28" s="229">
        <f t="shared" si="2"/>
        <v>43827</v>
      </c>
      <c r="F28" s="228">
        <f t="shared" si="3"/>
        <v>0</v>
      </c>
      <c r="G28" s="230" t="str">
        <f t="shared" si="4"/>
        <v/>
      </c>
      <c r="H28" s="231" t="str">
        <f t="shared" si="5"/>
        <v/>
      </c>
      <c r="I28" s="228">
        <f t="shared" si="0"/>
        <v>1</v>
      </c>
      <c r="J28" s="228">
        <f t="shared" si="6"/>
        <v>8</v>
      </c>
      <c r="L28" s="232"/>
      <c r="M28" s="233" t="s">
        <v>321</v>
      </c>
      <c r="N28" s="234">
        <f>DATE(cAar,12,24)</f>
        <v>43823</v>
      </c>
      <c r="O28" s="225"/>
      <c r="Q28" s="504">
        <f t="shared" ca="1" si="9"/>
        <v>43872</v>
      </c>
    </row>
    <row r="29" spans="2:17" ht="13.2">
      <c r="B29" s="226" t="str">
        <f t="shared" si="7"/>
        <v/>
      </c>
      <c r="C29" s="227">
        <f t="shared" si="8"/>
        <v>43828</v>
      </c>
      <c r="D29" s="228">
        <f t="shared" si="1"/>
        <v>7</v>
      </c>
      <c r="E29" s="229">
        <f t="shared" si="2"/>
        <v>43828</v>
      </c>
      <c r="F29" s="228">
        <f t="shared" si="3"/>
        <v>0</v>
      </c>
      <c r="G29" s="230" t="str">
        <f t="shared" si="4"/>
        <v/>
      </c>
      <c r="H29" s="231" t="str">
        <f t="shared" si="5"/>
        <v/>
      </c>
      <c r="I29" s="228">
        <f t="shared" si="0"/>
        <v>1</v>
      </c>
      <c r="J29" s="228">
        <f t="shared" si="6"/>
        <v>8</v>
      </c>
      <c r="L29" s="232"/>
      <c r="M29" s="233" t="s">
        <v>322</v>
      </c>
      <c r="N29" s="234">
        <f>DATE(cAar,12,25)</f>
        <v>43824</v>
      </c>
      <c r="O29" s="225"/>
      <c r="Q29" s="504">
        <f t="shared" ca="1" si="9"/>
        <v>43873</v>
      </c>
    </row>
    <row r="30" spans="2:17" ht="13.2">
      <c r="B30" s="226" t="str">
        <f t="shared" si="7"/>
        <v/>
      </c>
      <c r="C30" s="227">
        <f t="shared" si="8"/>
        <v>43829</v>
      </c>
      <c r="D30" s="228">
        <f t="shared" si="1"/>
        <v>1</v>
      </c>
      <c r="E30" s="229">
        <f t="shared" si="2"/>
        <v>43829</v>
      </c>
      <c r="F30" s="228">
        <f t="shared" si="3"/>
        <v>0</v>
      </c>
      <c r="G30" s="230" t="str">
        <f t="shared" si="4"/>
        <v/>
      </c>
      <c r="H30" s="231" t="str">
        <f t="shared" si="5"/>
        <v/>
      </c>
      <c r="I30" s="228">
        <f t="shared" si="0"/>
        <v>0</v>
      </c>
      <c r="J30" s="228">
        <f t="shared" si="6"/>
        <v>9</v>
      </c>
      <c r="L30" s="232"/>
      <c r="M30" s="233" t="s">
        <v>323</v>
      </c>
      <c r="N30" s="234">
        <f>DATE(cAar,12,26)</f>
        <v>43825</v>
      </c>
      <c r="O30" s="225"/>
      <c r="Q30" s="504">
        <f t="shared" ca="1" si="9"/>
        <v>43874</v>
      </c>
    </row>
    <row r="31" spans="2:17" ht="13.2">
      <c r="B31" s="226" t="str">
        <f t="shared" si="7"/>
        <v/>
      </c>
      <c r="C31" s="227">
        <f t="shared" si="8"/>
        <v>43830</v>
      </c>
      <c r="D31" s="228">
        <f t="shared" si="1"/>
        <v>2</v>
      </c>
      <c r="E31" s="229">
        <f t="shared" si="2"/>
        <v>43830</v>
      </c>
      <c r="F31" s="228">
        <f t="shared" si="3"/>
        <v>0</v>
      </c>
      <c r="G31" s="230" t="str">
        <f t="shared" si="4"/>
        <v/>
      </c>
      <c r="H31" s="231" t="str">
        <f t="shared" si="5"/>
        <v/>
      </c>
      <c r="I31" s="228">
        <f t="shared" si="0"/>
        <v>0</v>
      </c>
      <c r="J31" s="228">
        <f t="shared" si="6"/>
        <v>10</v>
      </c>
      <c r="L31" s="232"/>
      <c r="M31" s="233"/>
      <c r="N31" s="234"/>
      <c r="O31" s="225"/>
      <c r="Q31" s="504">
        <f t="shared" ca="1" si="9"/>
        <v>43875</v>
      </c>
    </row>
    <row r="32" spans="2:17" ht="13.2">
      <c r="B32" s="226" t="str">
        <f t="shared" si="7"/>
        <v/>
      </c>
      <c r="C32" s="227">
        <f t="shared" si="8"/>
        <v>43831</v>
      </c>
      <c r="D32" s="228">
        <f t="shared" si="1"/>
        <v>3</v>
      </c>
      <c r="E32" s="229">
        <f t="shared" si="2"/>
        <v>43831</v>
      </c>
      <c r="F32" s="228">
        <f t="shared" si="3"/>
        <v>0</v>
      </c>
      <c r="G32" s="230" t="str">
        <f t="shared" si="4"/>
        <v/>
      </c>
      <c r="H32" s="231" t="str">
        <f t="shared" si="5"/>
        <v/>
      </c>
      <c r="I32" s="228">
        <f t="shared" si="0"/>
        <v>0</v>
      </c>
      <c r="J32" s="228">
        <f t="shared" si="6"/>
        <v>11</v>
      </c>
      <c r="L32" s="232"/>
      <c r="M32" s="236" t="s">
        <v>324</v>
      </c>
      <c r="N32" s="234"/>
      <c r="O32" s="225"/>
      <c r="Q32" s="504">
        <f t="shared" ca="1" si="9"/>
        <v>43876</v>
      </c>
    </row>
    <row r="33" spans="2:17" ht="13.2">
      <c r="B33" s="226" t="str">
        <f t="shared" si="7"/>
        <v/>
      </c>
      <c r="C33" s="227">
        <f t="shared" si="8"/>
        <v>43832</v>
      </c>
      <c r="D33" s="228">
        <f t="shared" si="1"/>
        <v>4</v>
      </c>
      <c r="E33" s="229">
        <f t="shared" si="2"/>
        <v>43832</v>
      </c>
      <c r="F33" s="228">
        <f t="shared" si="3"/>
        <v>0</v>
      </c>
      <c r="G33" s="230" t="str">
        <f t="shared" si="4"/>
        <v/>
      </c>
      <c r="H33" s="231" t="str">
        <f t="shared" si="5"/>
        <v/>
      </c>
      <c r="I33" s="228">
        <f t="shared" si="0"/>
        <v>0</v>
      </c>
      <c r="J33" s="228">
        <f t="shared" si="6"/>
        <v>12</v>
      </c>
      <c r="L33" s="232"/>
      <c r="M33" s="233"/>
      <c r="N33" s="234"/>
      <c r="O33" s="225"/>
      <c r="Q33" s="504">
        <f t="shared" ca="1" si="9"/>
        <v>43877</v>
      </c>
    </row>
    <row r="34" spans="2:17" ht="13.2">
      <c r="B34" s="226" t="str">
        <f t="shared" si="7"/>
        <v/>
      </c>
      <c r="C34" s="227">
        <f t="shared" si="8"/>
        <v>43833</v>
      </c>
      <c r="D34" s="228">
        <f t="shared" si="1"/>
        <v>5</v>
      </c>
      <c r="E34" s="229">
        <f t="shared" si="2"/>
        <v>43833</v>
      </c>
      <c r="F34" s="228">
        <f t="shared" si="3"/>
        <v>0</v>
      </c>
      <c r="G34" s="230" t="str">
        <f t="shared" si="4"/>
        <v/>
      </c>
      <c r="H34" s="231" t="str">
        <f t="shared" si="5"/>
        <v/>
      </c>
      <c r="I34" s="228">
        <f t="shared" si="0"/>
        <v>0</v>
      </c>
      <c r="J34" s="228">
        <f t="shared" si="6"/>
        <v>13</v>
      </c>
      <c r="L34" s="232" t="s">
        <v>325</v>
      </c>
      <c r="M34" s="233"/>
      <c r="N34" s="234"/>
      <c r="O34" s="225"/>
      <c r="Q34" s="504">
        <f t="shared" ca="1" si="9"/>
        <v>43878</v>
      </c>
    </row>
    <row r="35" spans="2:17" ht="13.2">
      <c r="B35" s="226" t="str">
        <f t="shared" si="7"/>
        <v/>
      </c>
      <c r="C35" s="227">
        <f t="shared" si="8"/>
        <v>43834</v>
      </c>
      <c r="D35" s="228">
        <f t="shared" si="1"/>
        <v>6</v>
      </c>
      <c r="E35" s="229">
        <f t="shared" si="2"/>
        <v>43834</v>
      </c>
      <c r="F35" s="228">
        <f t="shared" si="3"/>
        <v>0</v>
      </c>
      <c r="G35" s="230" t="str">
        <f t="shared" si="4"/>
        <v/>
      </c>
      <c r="H35" s="231" t="str">
        <f t="shared" si="5"/>
        <v/>
      </c>
      <c r="I35" s="228">
        <f t="shared" si="0"/>
        <v>1</v>
      </c>
      <c r="J35" s="228">
        <f t="shared" si="6"/>
        <v>13</v>
      </c>
      <c r="L35" s="205">
        <f>cAar+1</f>
        <v>2020</v>
      </c>
      <c r="M35" s="223" t="s">
        <v>307</v>
      </c>
      <c r="N35" s="224"/>
      <c r="O35" s="225"/>
      <c r="Q35" s="504">
        <f t="shared" ca="1" si="9"/>
        <v>43879</v>
      </c>
    </row>
    <row r="36" spans="2:17" ht="13.2">
      <c r="B36" s="226" t="str">
        <f t="shared" si="7"/>
        <v/>
      </c>
      <c r="C36" s="227">
        <f t="shared" si="8"/>
        <v>43835</v>
      </c>
      <c r="D36" s="228">
        <f t="shared" si="1"/>
        <v>7</v>
      </c>
      <c r="E36" s="229">
        <f t="shared" si="2"/>
        <v>43835</v>
      </c>
      <c r="F36" s="228">
        <f t="shared" si="3"/>
        <v>0</v>
      </c>
      <c r="G36" s="230" t="str">
        <f t="shared" si="4"/>
        <v/>
      </c>
      <c r="H36" s="231" t="str">
        <f t="shared" si="5"/>
        <v/>
      </c>
      <c r="I36" s="228">
        <f t="shared" si="0"/>
        <v>1</v>
      </c>
      <c r="J36" s="228">
        <f t="shared" si="6"/>
        <v>13</v>
      </c>
      <c r="M36" s="233" t="s">
        <v>308</v>
      </c>
      <c r="N36" s="234">
        <f>N37-4</f>
        <v>43926</v>
      </c>
      <c r="Q36" s="504">
        <f t="shared" ca="1" si="9"/>
        <v>43880</v>
      </c>
    </row>
    <row r="37" spans="2:17" ht="13.2">
      <c r="B37" s="226" t="str">
        <f t="shared" si="7"/>
        <v/>
      </c>
      <c r="C37" s="227">
        <f t="shared" si="8"/>
        <v>43836</v>
      </c>
      <c r="D37" s="228">
        <f t="shared" si="1"/>
        <v>1</v>
      </c>
      <c r="E37" s="229">
        <f t="shared" si="2"/>
        <v>43836</v>
      </c>
      <c r="F37" s="228">
        <f t="shared" si="3"/>
        <v>0</v>
      </c>
      <c r="G37" s="230" t="str">
        <f t="shared" si="4"/>
        <v/>
      </c>
      <c r="H37" s="231" t="str">
        <f t="shared" si="5"/>
        <v/>
      </c>
      <c r="I37" s="228">
        <f t="shared" si="0"/>
        <v>0</v>
      </c>
      <c r="J37" s="228">
        <f t="shared" si="6"/>
        <v>14</v>
      </c>
      <c r="M37" s="233" t="s">
        <v>309</v>
      </c>
      <c r="N37" s="234">
        <f>N38-1</f>
        <v>43930</v>
      </c>
      <c r="Q37" s="504">
        <f t="shared" ca="1" si="9"/>
        <v>43881</v>
      </c>
    </row>
    <row r="38" spans="2:17" ht="13.2">
      <c r="B38" s="226" t="str">
        <f t="shared" si="7"/>
        <v/>
      </c>
      <c r="C38" s="227">
        <f t="shared" si="8"/>
        <v>43837</v>
      </c>
      <c r="D38" s="228">
        <f t="shared" si="1"/>
        <v>2</v>
      </c>
      <c r="E38" s="229">
        <f t="shared" si="2"/>
        <v>43837</v>
      </c>
      <c r="F38" s="228">
        <f t="shared" si="3"/>
        <v>0</v>
      </c>
      <c r="G38" s="230" t="str">
        <f t="shared" si="4"/>
        <v/>
      </c>
      <c r="H38" s="231" t="str">
        <f t="shared" si="5"/>
        <v/>
      </c>
      <c r="I38" s="228">
        <f t="shared" si="0"/>
        <v>0</v>
      </c>
      <c r="J38" s="228">
        <f t="shared" si="6"/>
        <v>15</v>
      </c>
      <c r="M38" s="233" t="s">
        <v>310</v>
      </c>
      <c r="N38" s="234">
        <f>N39-1</f>
        <v>43931</v>
      </c>
      <c r="Q38" s="504">
        <f t="shared" ca="1" si="9"/>
        <v>43882</v>
      </c>
    </row>
    <row r="39" spans="2:17" ht="13.2">
      <c r="B39" s="226" t="str">
        <f t="shared" si="7"/>
        <v/>
      </c>
      <c r="C39" s="227">
        <f t="shared" si="8"/>
        <v>43838</v>
      </c>
      <c r="D39" s="228">
        <f t="shared" si="1"/>
        <v>3</v>
      </c>
      <c r="E39" s="229">
        <f t="shared" si="2"/>
        <v>43838</v>
      </c>
      <c r="F39" s="228">
        <f t="shared" si="3"/>
        <v>0</v>
      </c>
      <c r="G39" s="230" t="str">
        <f t="shared" si="4"/>
        <v/>
      </c>
      <c r="H39" s="231" t="str">
        <f t="shared" si="5"/>
        <v/>
      </c>
      <c r="I39" s="228">
        <f t="shared" si="0"/>
        <v>0</v>
      </c>
      <c r="J39" s="228">
        <f t="shared" si="6"/>
        <v>16</v>
      </c>
      <c r="M39" s="233" t="s">
        <v>311</v>
      </c>
      <c r="N39" s="234">
        <f>N40-1</f>
        <v>43932</v>
      </c>
      <c r="Q39" s="504">
        <f t="shared" ca="1" si="9"/>
        <v>43883</v>
      </c>
    </row>
    <row r="40" spans="2:17" ht="13.2">
      <c r="B40" s="226" t="str">
        <f t="shared" si="7"/>
        <v/>
      </c>
      <c r="C40" s="227">
        <f t="shared" si="8"/>
        <v>43839</v>
      </c>
      <c r="D40" s="228">
        <f t="shared" si="1"/>
        <v>4</v>
      </c>
      <c r="E40" s="229">
        <f t="shared" si="2"/>
        <v>43839</v>
      </c>
      <c r="F40" s="228">
        <f t="shared" si="3"/>
        <v>0</v>
      </c>
      <c r="G40" s="230" t="str">
        <f t="shared" si="4"/>
        <v/>
      </c>
      <c r="H40" s="231" t="str">
        <f t="shared" si="5"/>
        <v/>
      </c>
      <c r="I40" s="228">
        <f t="shared" si="0"/>
        <v>0</v>
      </c>
      <c r="J40" s="228">
        <f t="shared" si="6"/>
        <v>17</v>
      </c>
      <c r="M40" s="233" t="s">
        <v>312</v>
      </c>
      <c r="N40" s="235">
        <f>FLOOR(DAY(MINUTE(cAar2/38)/2+56)&amp;"/5/"&amp;cAar2,7)-34</f>
        <v>43933</v>
      </c>
      <c r="Q40" s="504">
        <f t="shared" ca="1" si="9"/>
        <v>43884</v>
      </c>
    </row>
    <row r="41" spans="2:17" ht="13.2">
      <c r="B41" s="226" t="str">
        <f t="shared" si="7"/>
        <v/>
      </c>
      <c r="C41" s="227">
        <f t="shared" si="8"/>
        <v>43840</v>
      </c>
      <c r="D41" s="228">
        <f t="shared" si="1"/>
        <v>5</v>
      </c>
      <c r="E41" s="229">
        <f t="shared" si="2"/>
        <v>43840</v>
      </c>
      <c r="F41" s="228">
        <f t="shared" si="3"/>
        <v>0</v>
      </c>
      <c r="G41" s="230" t="str">
        <f t="shared" si="4"/>
        <v/>
      </c>
      <c r="H41" s="231" t="str">
        <f t="shared" si="5"/>
        <v/>
      </c>
      <c r="I41" s="228">
        <f t="shared" si="0"/>
        <v>0</v>
      </c>
      <c r="J41" s="228">
        <f t="shared" si="6"/>
        <v>18</v>
      </c>
      <c r="M41" s="233" t="s">
        <v>313</v>
      </c>
      <c r="N41" s="234">
        <f>N40+1</f>
        <v>43934</v>
      </c>
      <c r="Q41" s="504">
        <f t="shared" ca="1" si="9"/>
        <v>43885</v>
      </c>
    </row>
    <row r="42" spans="2:17" ht="13.2">
      <c r="B42" s="226" t="str">
        <f t="shared" si="7"/>
        <v/>
      </c>
      <c r="C42" s="227">
        <f t="shared" si="8"/>
        <v>43841</v>
      </c>
      <c r="D42" s="228">
        <f t="shared" si="1"/>
        <v>6</v>
      </c>
      <c r="E42" s="229">
        <f t="shared" si="2"/>
        <v>43841</v>
      </c>
      <c r="F42" s="228">
        <f t="shared" si="3"/>
        <v>0</v>
      </c>
      <c r="G42" s="230" t="str">
        <f t="shared" si="4"/>
        <v/>
      </c>
      <c r="H42" s="231" t="str">
        <f t="shared" si="5"/>
        <v/>
      </c>
      <c r="I42" s="228">
        <f t="shared" si="0"/>
        <v>1</v>
      </c>
      <c r="J42" s="228">
        <f t="shared" si="6"/>
        <v>18</v>
      </c>
      <c r="M42" s="233" t="s">
        <v>314</v>
      </c>
      <c r="N42" s="234">
        <f>N39+40</f>
        <v>43972</v>
      </c>
      <c r="Q42" s="504">
        <f t="shared" ca="1" si="9"/>
        <v>43886</v>
      </c>
    </row>
    <row r="43" spans="2:17" ht="13.2">
      <c r="B43" s="226" t="str">
        <f t="shared" si="7"/>
        <v/>
      </c>
      <c r="C43" s="227">
        <f t="shared" si="8"/>
        <v>43842</v>
      </c>
      <c r="D43" s="228">
        <f t="shared" si="1"/>
        <v>7</v>
      </c>
      <c r="E43" s="229">
        <f t="shared" si="2"/>
        <v>43842</v>
      </c>
      <c r="F43" s="228">
        <f t="shared" si="3"/>
        <v>0</v>
      </c>
      <c r="G43" s="230" t="str">
        <f t="shared" si="4"/>
        <v/>
      </c>
      <c r="H43" s="231" t="str">
        <f t="shared" si="5"/>
        <v/>
      </c>
      <c r="I43" s="228">
        <f t="shared" si="0"/>
        <v>1</v>
      </c>
      <c r="J43" s="228">
        <f t="shared" si="6"/>
        <v>18</v>
      </c>
      <c r="M43" s="233" t="s">
        <v>315</v>
      </c>
      <c r="N43" s="234">
        <f>N40+49</f>
        <v>43982</v>
      </c>
      <c r="Q43" s="504">
        <f t="shared" ca="1" si="9"/>
        <v>43887</v>
      </c>
    </row>
    <row r="44" spans="2:17" ht="13.2">
      <c r="B44" s="226" t="str">
        <f t="shared" si="7"/>
        <v/>
      </c>
      <c r="C44" s="227">
        <f t="shared" si="8"/>
        <v>43843</v>
      </c>
      <c r="D44" s="228">
        <f t="shared" si="1"/>
        <v>1</v>
      </c>
      <c r="E44" s="229">
        <f t="shared" si="2"/>
        <v>43843</v>
      </c>
      <c r="F44" s="228">
        <f t="shared" si="3"/>
        <v>0</v>
      </c>
      <c r="G44" s="230" t="str">
        <f t="shared" si="4"/>
        <v/>
      </c>
      <c r="H44" s="231" t="str">
        <f t="shared" si="5"/>
        <v/>
      </c>
      <c r="I44" s="228">
        <f t="shared" si="0"/>
        <v>0</v>
      </c>
      <c r="J44" s="228">
        <f t="shared" si="6"/>
        <v>19</v>
      </c>
      <c r="M44" s="233" t="s">
        <v>316</v>
      </c>
      <c r="N44" s="234">
        <f>N40+50</f>
        <v>43983</v>
      </c>
      <c r="Q44" s="504">
        <f t="shared" ca="1" si="9"/>
        <v>43888</v>
      </c>
    </row>
    <row r="45" spans="2:17" ht="13.2">
      <c r="B45" s="226" t="str">
        <f t="shared" si="7"/>
        <v/>
      </c>
      <c r="C45" s="227">
        <f t="shared" si="8"/>
        <v>43844</v>
      </c>
      <c r="D45" s="228">
        <f t="shared" si="1"/>
        <v>2</v>
      </c>
      <c r="E45" s="229">
        <f t="shared" si="2"/>
        <v>43844</v>
      </c>
      <c r="F45" s="228">
        <f t="shared" si="3"/>
        <v>0</v>
      </c>
      <c r="G45" s="230" t="str">
        <f t="shared" si="4"/>
        <v/>
      </c>
      <c r="H45" s="231" t="str">
        <f t="shared" si="5"/>
        <v/>
      </c>
      <c r="I45" s="228">
        <f t="shared" si="0"/>
        <v>0</v>
      </c>
      <c r="J45" s="228">
        <f t="shared" si="6"/>
        <v>20</v>
      </c>
      <c r="M45" s="233"/>
      <c r="N45" s="234"/>
      <c r="Q45" s="504">
        <f t="shared" ca="1" si="9"/>
        <v>43889</v>
      </c>
    </row>
    <row r="46" spans="2:17" ht="13.2">
      <c r="B46" s="226" t="str">
        <f t="shared" si="7"/>
        <v/>
      </c>
      <c r="C46" s="227">
        <f t="shared" si="8"/>
        <v>43845</v>
      </c>
      <c r="D46" s="228">
        <f t="shared" si="1"/>
        <v>3</v>
      </c>
      <c r="E46" s="229">
        <f t="shared" si="2"/>
        <v>43845</v>
      </c>
      <c r="F46" s="228">
        <f t="shared" si="3"/>
        <v>0</v>
      </c>
      <c r="G46" s="230" t="str">
        <f t="shared" si="4"/>
        <v/>
      </c>
      <c r="H46" s="231" t="str">
        <f t="shared" si="5"/>
        <v/>
      </c>
      <c r="I46" s="228">
        <f t="shared" si="0"/>
        <v>0</v>
      </c>
      <c r="J46" s="228">
        <f t="shared" si="6"/>
        <v>21</v>
      </c>
      <c r="M46" s="236" t="s">
        <v>317</v>
      </c>
      <c r="N46" s="234"/>
      <c r="Q46" s="504">
        <f t="shared" ca="1" si="9"/>
        <v>43890</v>
      </c>
    </row>
    <row r="47" spans="2:17" ht="13.2">
      <c r="B47" s="226" t="str">
        <f t="shared" si="7"/>
        <v/>
      </c>
      <c r="C47" s="227">
        <f t="shared" si="8"/>
        <v>43846</v>
      </c>
      <c r="D47" s="228">
        <f t="shared" si="1"/>
        <v>4</v>
      </c>
      <c r="E47" s="229">
        <f t="shared" si="2"/>
        <v>43846</v>
      </c>
      <c r="F47" s="228">
        <f t="shared" si="3"/>
        <v>0</v>
      </c>
      <c r="G47" s="230" t="str">
        <f t="shared" si="4"/>
        <v/>
      </c>
      <c r="H47" s="231" t="str">
        <f t="shared" si="5"/>
        <v/>
      </c>
      <c r="I47" s="228">
        <f t="shared" si="0"/>
        <v>0</v>
      </c>
      <c r="J47" s="228">
        <f t="shared" si="6"/>
        <v>22</v>
      </c>
      <c r="M47" s="233" t="s">
        <v>318</v>
      </c>
      <c r="N47" s="234">
        <f>DATE(cAar,1,1)</f>
        <v>43466</v>
      </c>
      <c r="Q47" s="504">
        <f t="shared" ca="1" si="9"/>
        <v>43891</v>
      </c>
    </row>
    <row r="48" spans="2:17" ht="13.2">
      <c r="B48" s="226" t="str">
        <f t="shared" si="7"/>
        <v/>
      </c>
      <c r="C48" s="227">
        <f t="shared" si="8"/>
        <v>43847</v>
      </c>
      <c r="D48" s="228">
        <f t="shared" si="1"/>
        <v>5</v>
      </c>
      <c r="E48" s="229">
        <f t="shared" si="2"/>
        <v>43847</v>
      </c>
      <c r="F48" s="228">
        <f t="shared" si="3"/>
        <v>0</v>
      </c>
      <c r="G48" s="230" t="str">
        <f t="shared" si="4"/>
        <v/>
      </c>
      <c r="H48" s="231" t="str">
        <f t="shared" si="5"/>
        <v/>
      </c>
      <c r="I48" s="228">
        <f t="shared" si="0"/>
        <v>0</v>
      </c>
      <c r="J48" s="228">
        <f t="shared" si="6"/>
        <v>23</v>
      </c>
      <c r="M48" s="237" t="s">
        <v>319</v>
      </c>
      <c r="N48" s="234">
        <f>DATE(cAar,5,1)</f>
        <v>43586</v>
      </c>
      <c r="Q48" s="504">
        <f t="shared" ca="1" si="9"/>
        <v>43892</v>
      </c>
    </row>
    <row r="49" spans="2:17" ht="13.2">
      <c r="B49" s="226" t="str">
        <f t="shared" si="7"/>
        <v/>
      </c>
      <c r="C49" s="227">
        <f t="shared" si="8"/>
        <v>43848</v>
      </c>
      <c r="D49" s="228">
        <f t="shared" si="1"/>
        <v>6</v>
      </c>
      <c r="E49" s="229">
        <f t="shared" si="2"/>
        <v>43848</v>
      </c>
      <c r="F49" s="228">
        <f t="shared" si="3"/>
        <v>0</v>
      </c>
      <c r="G49" s="230" t="str">
        <f t="shared" si="4"/>
        <v/>
      </c>
      <c r="H49" s="231" t="str">
        <f t="shared" si="5"/>
        <v/>
      </c>
      <c r="I49" s="228">
        <f t="shared" si="0"/>
        <v>1</v>
      </c>
      <c r="J49" s="228">
        <f t="shared" si="6"/>
        <v>23</v>
      </c>
      <c r="M49" s="233" t="s">
        <v>320</v>
      </c>
      <c r="N49" s="234">
        <f>DATE(cAar,5,17)</f>
        <v>43602</v>
      </c>
      <c r="Q49" s="504">
        <f t="shared" ca="1" si="9"/>
        <v>43893</v>
      </c>
    </row>
    <row r="50" spans="2:17" ht="13.2">
      <c r="B50" s="226" t="str">
        <f t="shared" si="7"/>
        <v/>
      </c>
      <c r="C50" s="227">
        <f t="shared" si="8"/>
        <v>43849</v>
      </c>
      <c r="D50" s="228">
        <f t="shared" si="1"/>
        <v>7</v>
      </c>
      <c r="E50" s="229">
        <f t="shared" si="2"/>
        <v>43849</v>
      </c>
      <c r="F50" s="228">
        <f t="shared" si="3"/>
        <v>0</v>
      </c>
      <c r="G50" s="230" t="str">
        <f t="shared" si="4"/>
        <v/>
      </c>
      <c r="H50" s="231" t="str">
        <f t="shared" si="5"/>
        <v/>
      </c>
      <c r="I50" s="228">
        <f t="shared" si="0"/>
        <v>1</v>
      </c>
      <c r="J50" s="228">
        <f t="shared" si="6"/>
        <v>23</v>
      </c>
      <c r="M50" s="233" t="s">
        <v>321</v>
      </c>
      <c r="N50" s="234">
        <f>DATE(cAar,12,24)</f>
        <v>43823</v>
      </c>
      <c r="Q50" s="504">
        <f t="shared" ca="1" si="9"/>
        <v>43894</v>
      </c>
    </row>
    <row r="51" spans="2:17" ht="13.2">
      <c r="B51" s="226" t="str">
        <f t="shared" si="7"/>
        <v/>
      </c>
      <c r="C51" s="227">
        <f t="shared" si="8"/>
        <v>43850</v>
      </c>
      <c r="D51" s="228">
        <f t="shared" si="1"/>
        <v>1</v>
      </c>
      <c r="E51" s="229">
        <f t="shared" si="2"/>
        <v>43850</v>
      </c>
      <c r="F51" s="228">
        <f t="shared" si="3"/>
        <v>0</v>
      </c>
      <c r="G51" s="230" t="str">
        <f t="shared" si="4"/>
        <v/>
      </c>
      <c r="H51" s="231" t="str">
        <f t="shared" si="5"/>
        <v/>
      </c>
      <c r="I51" s="228">
        <f t="shared" si="0"/>
        <v>0</v>
      </c>
      <c r="J51" s="228">
        <f t="shared" si="6"/>
        <v>24</v>
      </c>
      <c r="M51" s="233" t="s">
        <v>322</v>
      </c>
      <c r="N51" s="234">
        <f>DATE(cAar,12,25)</f>
        <v>43824</v>
      </c>
      <c r="Q51" s="504">
        <f t="shared" ca="1" si="9"/>
        <v>43895</v>
      </c>
    </row>
    <row r="52" spans="2:17" ht="13.2">
      <c r="B52" s="226" t="str">
        <f t="shared" si="7"/>
        <v/>
      </c>
      <c r="C52" s="227">
        <f t="shared" si="8"/>
        <v>43851</v>
      </c>
      <c r="D52" s="228">
        <f t="shared" si="1"/>
        <v>2</v>
      </c>
      <c r="E52" s="229">
        <f t="shared" si="2"/>
        <v>43851</v>
      </c>
      <c r="F52" s="228">
        <f t="shared" si="3"/>
        <v>0</v>
      </c>
      <c r="G52" s="230" t="str">
        <f t="shared" si="4"/>
        <v/>
      </c>
      <c r="H52" s="231" t="str">
        <f t="shared" si="5"/>
        <v/>
      </c>
      <c r="I52" s="228">
        <f t="shared" si="0"/>
        <v>0</v>
      </c>
      <c r="J52" s="228">
        <f t="shared" si="6"/>
        <v>25</v>
      </c>
      <c r="M52" s="233" t="s">
        <v>323</v>
      </c>
      <c r="N52" s="234">
        <f>DATE(cAar,12,26)</f>
        <v>43825</v>
      </c>
      <c r="Q52" s="504">
        <f t="shared" ca="1" si="9"/>
        <v>43896</v>
      </c>
    </row>
    <row r="53" spans="2:17" ht="13.2">
      <c r="B53" s="226" t="str">
        <f t="shared" si="7"/>
        <v/>
      </c>
      <c r="C53" s="227">
        <f t="shared" si="8"/>
        <v>43852</v>
      </c>
      <c r="D53" s="228">
        <f t="shared" si="1"/>
        <v>3</v>
      </c>
      <c r="E53" s="229">
        <f t="shared" si="2"/>
        <v>43852</v>
      </c>
      <c r="F53" s="228">
        <f t="shared" si="3"/>
        <v>0</v>
      </c>
      <c r="G53" s="230" t="str">
        <f t="shared" si="4"/>
        <v/>
      </c>
      <c r="H53" s="231" t="str">
        <f t="shared" si="5"/>
        <v/>
      </c>
      <c r="I53" s="228">
        <f t="shared" si="0"/>
        <v>0</v>
      </c>
      <c r="J53" s="228">
        <f t="shared" si="6"/>
        <v>26</v>
      </c>
      <c r="M53" s="233"/>
      <c r="N53" s="234"/>
      <c r="Q53" s="504">
        <f t="shared" ca="1" si="9"/>
        <v>43897</v>
      </c>
    </row>
    <row r="54" spans="2:17" ht="13.2">
      <c r="B54" s="226" t="str">
        <f t="shared" si="7"/>
        <v/>
      </c>
      <c r="C54" s="227">
        <f t="shared" si="8"/>
        <v>43853</v>
      </c>
      <c r="D54" s="228">
        <f t="shared" si="1"/>
        <v>4</v>
      </c>
      <c r="E54" s="229">
        <f t="shared" si="2"/>
        <v>43853</v>
      </c>
      <c r="F54" s="228">
        <f t="shared" si="3"/>
        <v>0</v>
      </c>
      <c r="G54" s="230" t="str">
        <f t="shared" si="4"/>
        <v/>
      </c>
      <c r="H54" s="231" t="str">
        <f t="shared" si="5"/>
        <v/>
      </c>
      <c r="I54" s="228">
        <f t="shared" si="0"/>
        <v>0</v>
      </c>
      <c r="J54" s="228">
        <f t="shared" si="6"/>
        <v>27</v>
      </c>
      <c r="M54" s="236" t="s">
        <v>324</v>
      </c>
      <c r="N54" s="234"/>
      <c r="Q54" s="504">
        <f t="shared" ca="1" si="9"/>
        <v>43898</v>
      </c>
    </row>
    <row r="55" spans="2:17" ht="13.2">
      <c r="B55" s="226" t="str">
        <f t="shared" si="7"/>
        <v/>
      </c>
      <c r="C55" s="227">
        <f t="shared" si="8"/>
        <v>43854</v>
      </c>
      <c r="D55" s="228">
        <f t="shared" si="1"/>
        <v>5</v>
      </c>
      <c r="E55" s="229">
        <f t="shared" si="2"/>
        <v>43854</v>
      </c>
      <c r="F55" s="228">
        <f t="shared" si="3"/>
        <v>0</v>
      </c>
      <c r="G55" s="230" t="str">
        <f t="shared" si="4"/>
        <v/>
      </c>
      <c r="H55" s="231" t="str">
        <f t="shared" si="5"/>
        <v/>
      </c>
      <c r="I55" s="228">
        <f t="shared" si="0"/>
        <v>0</v>
      </c>
      <c r="J55" s="228">
        <f t="shared" si="6"/>
        <v>28</v>
      </c>
      <c r="M55" s="233"/>
      <c r="N55" s="234"/>
      <c r="Q55" s="504">
        <f t="shared" ca="1" si="9"/>
        <v>43899</v>
      </c>
    </row>
    <row r="56" spans="2:17" ht="13.2">
      <c r="B56" s="226" t="str">
        <f t="shared" si="7"/>
        <v/>
      </c>
      <c r="C56" s="227">
        <f t="shared" si="8"/>
        <v>43855</v>
      </c>
      <c r="D56" s="228">
        <f t="shared" si="1"/>
        <v>6</v>
      </c>
      <c r="E56" s="229">
        <f t="shared" si="2"/>
        <v>43855</v>
      </c>
      <c r="F56" s="228">
        <f t="shared" si="3"/>
        <v>0</v>
      </c>
      <c r="G56" s="230" t="str">
        <f t="shared" si="4"/>
        <v/>
      </c>
      <c r="H56" s="231" t="str">
        <f t="shared" si="5"/>
        <v/>
      </c>
      <c r="I56" s="228">
        <f t="shared" si="0"/>
        <v>1</v>
      </c>
      <c r="J56" s="228">
        <f t="shared" si="6"/>
        <v>28</v>
      </c>
      <c r="L56" s="195" t="s">
        <v>326</v>
      </c>
      <c r="M56" s="233"/>
      <c r="N56" s="234"/>
      <c r="Q56" s="504">
        <f t="shared" ca="1" si="9"/>
        <v>43900</v>
      </c>
    </row>
    <row r="57" spans="2:17" ht="13.2">
      <c r="B57" s="226" t="str">
        <f t="shared" si="7"/>
        <v/>
      </c>
      <c r="C57" s="227">
        <f t="shared" si="8"/>
        <v>43856</v>
      </c>
      <c r="D57" s="228">
        <f t="shared" si="1"/>
        <v>7</v>
      </c>
      <c r="E57" s="229">
        <f t="shared" si="2"/>
        <v>43856</v>
      </c>
      <c r="F57" s="228">
        <f t="shared" si="3"/>
        <v>0</v>
      </c>
      <c r="G57" s="230" t="str">
        <f t="shared" si="4"/>
        <v/>
      </c>
      <c r="H57" s="231" t="str">
        <f t="shared" si="5"/>
        <v/>
      </c>
      <c r="I57" s="228">
        <f t="shared" si="0"/>
        <v>1</v>
      </c>
      <c r="J57" s="228">
        <f t="shared" si="6"/>
        <v>28</v>
      </c>
      <c r="L57" s="205">
        <f>cAar+2</f>
        <v>2021</v>
      </c>
      <c r="M57" s="223" t="s">
        <v>307</v>
      </c>
      <c r="N57" s="224"/>
      <c r="Q57" s="504">
        <f t="shared" ca="1" si="9"/>
        <v>43901</v>
      </c>
    </row>
    <row r="58" spans="2:17" ht="13.2">
      <c r="B58" s="226" t="str">
        <f t="shared" si="7"/>
        <v/>
      </c>
      <c r="C58" s="227">
        <f t="shared" si="8"/>
        <v>43857</v>
      </c>
      <c r="D58" s="228">
        <f t="shared" si="1"/>
        <v>1</v>
      </c>
      <c r="E58" s="229">
        <f t="shared" si="2"/>
        <v>43857</v>
      </c>
      <c r="F58" s="228">
        <f t="shared" si="3"/>
        <v>0</v>
      </c>
      <c r="G58" s="230" t="str">
        <f t="shared" si="4"/>
        <v/>
      </c>
      <c r="H58" s="231" t="str">
        <f t="shared" si="5"/>
        <v/>
      </c>
      <c r="I58" s="228">
        <f t="shared" si="0"/>
        <v>0</v>
      </c>
      <c r="J58" s="228">
        <f t="shared" si="6"/>
        <v>29</v>
      </c>
      <c r="M58" s="233" t="s">
        <v>308</v>
      </c>
      <c r="N58" s="234">
        <f>N59-4</f>
        <v>44283</v>
      </c>
      <c r="Q58" s="504">
        <f t="shared" ca="1" si="9"/>
        <v>43902</v>
      </c>
    </row>
    <row r="59" spans="2:17" ht="13.2">
      <c r="B59" s="226" t="str">
        <f t="shared" si="7"/>
        <v/>
      </c>
      <c r="C59" s="227">
        <f t="shared" si="8"/>
        <v>43858</v>
      </c>
      <c r="D59" s="228">
        <f t="shared" si="1"/>
        <v>2</v>
      </c>
      <c r="E59" s="229">
        <f t="shared" si="2"/>
        <v>43858</v>
      </c>
      <c r="F59" s="228">
        <f t="shared" si="3"/>
        <v>0</v>
      </c>
      <c r="G59" s="230" t="str">
        <f t="shared" si="4"/>
        <v/>
      </c>
      <c r="H59" s="231" t="str">
        <f t="shared" si="5"/>
        <v/>
      </c>
      <c r="I59" s="228">
        <f t="shared" si="0"/>
        <v>0</v>
      </c>
      <c r="J59" s="228">
        <f t="shared" si="6"/>
        <v>30</v>
      </c>
      <c r="M59" s="233" t="s">
        <v>309</v>
      </c>
      <c r="N59" s="234">
        <f>N60-1</f>
        <v>44287</v>
      </c>
      <c r="Q59" s="504">
        <f t="shared" ca="1" si="9"/>
        <v>43903</v>
      </c>
    </row>
    <row r="60" spans="2:17" ht="13.2">
      <c r="B60" s="226" t="str">
        <f t="shared" si="7"/>
        <v/>
      </c>
      <c r="C60" s="227">
        <f t="shared" si="8"/>
        <v>43859</v>
      </c>
      <c r="D60" s="228">
        <f t="shared" si="1"/>
        <v>3</v>
      </c>
      <c r="E60" s="229">
        <f t="shared" si="2"/>
        <v>43859</v>
      </c>
      <c r="F60" s="228">
        <f t="shared" si="3"/>
        <v>0</v>
      </c>
      <c r="G60" s="230" t="str">
        <f t="shared" si="4"/>
        <v/>
      </c>
      <c r="H60" s="231" t="str">
        <f t="shared" si="5"/>
        <v/>
      </c>
      <c r="I60" s="228">
        <f t="shared" si="0"/>
        <v>0</v>
      </c>
      <c r="J60" s="228">
        <f t="shared" si="6"/>
        <v>31</v>
      </c>
      <c r="M60" s="233" t="s">
        <v>310</v>
      </c>
      <c r="N60" s="234">
        <f>N61-1</f>
        <v>44288</v>
      </c>
      <c r="Q60" s="504">
        <f t="shared" ca="1" si="9"/>
        <v>43904</v>
      </c>
    </row>
    <row r="61" spans="2:17" ht="13.2">
      <c r="B61" s="226" t="str">
        <f t="shared" si="7"/>
        <v/>
      </c>
      <c r="C61" s="227">
        <f t="shared" si="8"/>
        <v>43860</v>
      </c>
      <c r="D61" s="228">
        <f t="shared" si="1"/>
        <v>4</v>
      </c>
      <c r="E61" s="229">
        <f t="shared" si="2"/>
        <v>43860</v>
      </c>
      <c r="F61" s="228">
        <f t="shared" si="3"/>
        <v>0</v>
      </c>
      <c r="G61" s="230" t="str">
        <f t="shared" si="4"/>
        <v/>
      </c>
      <c r="H61" s="231" t="str">
        <f t="shared" si="5"/>
        <v/>
      </c>
      <c r="I61" s="228">
        <f t="shared" si="0"/>
        <v>0</v>
      </c>
      <c r="J61" s="228">
        <f t="shared" si="6"/>
        <v>32</v>
      </c>
      <c r="M61" s="233" t="s">
        <v>311</v>
      </c>
      <c r="N61" s="234">
        <f>N62-1</f>
        <v>44289</v>
      </c>
      <c r="Q61" s="504">
        <f t="shared" ca="1" si="9"/>
        <v>43905</v>
      </c>
    </row>
    <row r="62" spans="2:17" ht="13.2">
      <c r="B62" s="226" t="str">
        <f t="shared" si="7"/>
        <v/>
      </c>
      <c r="C62" s="227">
        <f t="shared" si="8"/>
        <v>43861</v>
      </c>
      <c r="D62" s="228">
        <f t="shared" si="1"/>
        <v>5</v>
      </c>
      <c r="E62" s="229">
        <f t="shared" si="2"/>
        <v>43861</v>
      </c>
      <c r="F62" s="228">
        <f t="shared" si="3"/>
        <v>0</v>
      </c>
      <c r="G62" s="230" t="str">
        <f t="shared" si="4"/>
        <v/>
      </c>
      <c r="H62" s="231" t="str">
        <f t="shared" si="5"/>
        <v/>
      </c>
      <c r="I62" s="228">
        <f t="shared" si="0"/>
        <v>0</v>
      </c>
      <c r="J62" s="228">
        <f t="shared" si="6"/>
        <v>33</v>
      </c>
      <c r="M62" s="233" t="s">
        <v>312</v>
      </c>
      <c r="N62" s="235">
        <f>FLOOR(DAY(MINUTE(cAar3/38)/2+56)&amp;"/5/"&amp;cAar3,7)-34</f>
        <v>44290</v>
      </c>
      <c r="Q62" s="504">
        <f t="shared" ca="1" si="9"/>
        <v>43906</v>
      </c>
    </row>
    <row r="63" spans="2:17" ht="13.2">
      <c r="B63" s="226" t="str">
        <f t="shared" si="7"/>
        <v/>
      </c>
      <c r="C63" s="227">
        <f t="shared" si="8"/>
        <v>43862</v>
      </c>
      <c r="D63" s="228">
        <f t="shared" si="1"/>
        <v>6</v>
      </c>
      <c r="E63" s="229">
        <f t="shared" si="2"/>
        <v>43862</v>
      </c>
      <c r="F63" s="228">
        <f t="shared" si="3"/>
        <v>0</v>
      </c>
      <c r="G63" s="230" t="str">
        <f t="shared" si="4"/>
        <v/>
      </c>
      <c r="H63" s="231" t="str">
        <f t="shared" si="5"/>
        <v/>
      </c>
      <c r="I63" s="228">
        <f t="shared" si="0"/>
        <v>1</v>
      </c>
      <c r="J63" s="228">
        <f t="shared" si="6"/>
        <v>33</v>
      </c>
      <c r="M63" s="233" t="s">
        <v>313</v>
      </c>
      <c r="N63" s="234">
        <f>N62+1</f>
        <v>44291</v>
      </c>
      <c r="Q63" s="504">
        <f t="shared" ca="1" si="9"/>
        <v>43907</v>
      </c>
    </row>
    <row r="64" spans="2:17" ht="13.2">
      <c r="B64" s="226" t="str">
        <f t="shared" si="7"/>
        <v/>
      </c>
      <c r="C64" s="227">
        <f t="shared" si="8"/>
        <v>43863</v>
      </c>
      <c r="D64" s="228">
        <f t="shared" si="1"/>
        <v>7</v>
      </c>
      <c r="E64" s="229">
        <f t="shared" si="2"/>
        <v>43863</v>
      </c>
      <c r="F64" s="228">
        <f t="shared" si="3"/>
        <v>0</v>
      </c>
      <c r="G64" s="230" t="str">
        <f t="shared" si="4"/>
        <v/>
      </c>
      <c r="H64" s="231" t="str">
        <f t="shared" si="5"/>
        <v/>
      </c>
      <c r="I64" s="228">
        <f t="shared" si="0"/>
        <v>1</v>
      </c>
      <c r="J64" s="228">
        <f t="shared" si="6"/>
        <v>33</v>
      </c>
      <c r="M64" s="233" t="s">
        <v>314</v>
      </c>
      <c r="N64" s="234">
        <f>N61+40</f>
        <v>44329</v>
      </c>
      <c r="Q64" s="504">
        <f t="shared" ca="1" si="9"/>
        <v>43908</v>
      </c>
    </row>
    <row r="65" spans="2:17" ht="13.2">
      <c r="B65" s="226" t="str">
        <f t="shared" si="7"/>
        <v/>
      </c>
      <c r="C65" s="227">
        <f t="shared" si="8"/>
        <v>43864</v>
      </c>
      <c r="D65" s="228">
        <f t="shared" si="1"/>
        <v>1</v>
      </c>
      <c r="E65" s="229">
        <f t="shared" si="2"/>
        <v>43864</v>
      </c>
      <c r="F65" s="228">
        <f t="shared" si="3"/>
        <v>0</v>
      </c>
      <c r="G65" s="230" t="str">
        <f t="shared" si="4"/>
        <v/>
      </c>
      <c r="H65" s="231" t="str">
        <f t="shared" si="5"/>
        <v/>
      </c>
      <c r="I65" s="228">
        <f t="shared" si="0"/>
        <v>0</v>
      </c>
      <c r="J65" s="228">
        <f t="shared" si="6"/>
        <v>34</v>
      </c>
      <c r="M65" s="233" t="s">
        <v>315</v>
      </c>
      <c r="N65" s="234">
        <f>N62+49</f>
        <v>44339</v>
      </c>
      <c r="Q65" s="504">
        <f t="shared" ca="1" si="9"/>
        <v>43909</v>
      </c>
    </row>
    <row r="66" spans="2:17" ht="13.2">
      <c r="B66" s="226" t="str">
        <f t="shared" si="7"/>
        <v/>
      </c>
      <c r="C66" s="227">
        <f t="shared" si="8"/>
        <v>43865</v>
      </c>
      <c r="D66" s="228">
        <f t="shared" si="1"/>
        <v>2</v>
      </c>
      <c r="E66" s="229">
        <f t="shared" si="2"/>
        <v>43865</v>
      </c>
      <c r="F66" s="228">
        <f t="shared" si="3"/>
        <v>0</v>
      </c>
      <c r="G66" s="230" t="str">
        <f t="shared" si="4"/>
        <v/>
      </c>
      <c r="H66" s="231" t="str">
        <f t="shared" si="5"/>
        <v/>
      </c>
      <c r="I66" s="228">
        <f t="shared" si="0"/>
        <v>0</v>
      </c>
      <c r="J66" s="228">
        <f t="shared" si="6"/>
        <v>35</v>
      </c>
      <c r="M66" s="233" t="s">
        <v>316</v>
      </c>
      <c r="N66" s="234">
        <f>N62+50</f>
        <v>44340</v>
      </c>
      <c r="Q66" s="504">
        <f t="shared" ca="1" si="9"/>
        <v>43910</v>
      </c>
    </row>
    <row r="67" spans="2:17" ht="13.2">
      <c r="B67" s="226" t="str">
        <f t="shared" si="7"/>
        <v/>
      </c>
      <c r="C67" s="227">
        <f t="shared" si="8"/>
        <v>43866</v>
      </c>
      <c r="D67" s="228">
        <f t="shared" si="1"/>
        <v>3</v>
      </c>
      <c r="E67" s="229">
        <f t="shared" si="2"/>
        <v>43866</v>
      </c>
      <c r="F67" s="228">
        <f t="shared" si="3"/>
        <v>0</v>
      </c>
      <c r="G67" s="230" t="str">
        <f t="shared" si="4"/>
        <v/>
      </c>
      <c r="H67" s="231" t="str">
        <f t="shared" si="5"/>
        <v/>
      </c>
      <c r="I67" s="228">
        <f t="shared" si="0"/>
        <v>0</v>
      </c>
      <c r="J67" s="228">
        <f t="shared" si="6"/>
        <v>36</v>
      </c>
      <c r="M67" s="233"/>
      <c r="N67" s="234"/>
      <c r="Q67" s="504">
        <f t="shared" ca="1" si="9"/>
        <v>43911</v>
      </c>
    </row>
    <row r="68" spans="2:17" ht="13.2">
      <c r="B68" s="226" t="str">
        <f t="shared" si="7"/>
        <v/>
      </c>
      <c r="C68" s="227">
        <f t="shared" si="8"/>
        <v>43867</v>
      </c>
      <c r="D68" s="228">
        <f t="shared" si="1"/>
        <v>4</v>
      </c>
      <c r="E68" s="229">
        <f t="shared" si="2"/>
        <v>43867</v>
      </c>
      <c r="F68" s="228">
        <f t="shared" si="3"/>
        <v>0</v>
      </c>
      <c r="G68" s="230" t="str">
        <f t="shared" si="4"/>
        <v/>
      </c>
      <c r="H68" s="231" t="str">
        <f t="shared" si="5"/>
        <v/>
      </c>
      <c r="I68" s="228">
        <f t="shared" si="0"/>
        <v>0</v>
      </c>
      <c r="J68" s="228">
        <f t="shared" si="6"/>
        <v>37</v>
      </c>
      <c r="M68" s="236" t="s">
        <v>317</v>
      </c>
      <c r="N68" s="234"/>
      <c r="Q68" s="504">
        <f t="shared" ca="1" si="9"/>
        <v>43912</v>
      </c>
    </row>
    <row r="69" spans="2:17" ht="13.2">
      <c r="B69" s="226" t="str">
        <f t="shared" si="7"/>
        <v/>
      </c>
      <c r="C69" s="227">
        <f t="shared" si="8"/>
        <v>43868</v>
      </c>
      <c r="D69" s="228">
        <f t="shared" si="1"/>
        <v>5</v>
      </c>
      <c r="E69" s="229">
        <f t="shared" si="2"/>
        <v>43868</v>
      </c>
      <c r="F69" s="228">
        <f t="shared" si="3"/>
        <v>0</v>
      </c>
      <c r="G69" s="230" t="str">
        <f t="shared" si="4"/>
        <v/>
      </c>
      <c r="H69" s="231" t="str">
        <f t="shared" si="5"/>
        <v/>
      </c>
      <c r="I69" s="228">
        <f t="shared" si="0"/>
        <v>0</v>
      </c>
      <c r="J69" s="228">
        <f t="shared" si="6"/>
        <v>38</v>
      </c>
      <c r="M69" s="233" t="s">
        <v>318</v>
      </c>
      <c r="N69" s="234">
        <f>DATE(cAar,1,1)</f>
        <v>43466</v>
      </c>
      <c r="Q69" s="504">
        <f t="shared" ca="1" si="9"/>
        <v>43913</v>
      </c>
    </row>
    <row r="70" spans="2:17" ht="13.2">
      <c r="B70" s="226" t="str">
        <f t="shared" si="7"/>
        <v/>
      </c>
      <c r="C70" s="227">
        <f t="shared" si="8"/>
        <v>43869</v>
      </c>
      <c r="D70" s="228">
        <f t="shared" si="1"/>
        <v>6</v>
      </c>
      <c r="E70" s="229">
        <f t="shared" si="2"/>
        <v>43869</v>
      </c>
      <c r="F70" s="228">
        <f t="shared" si="3"/>
        <v>0</v>
      </c>
      <c r="G70" s="230" t="str">
        <f t="shared" si="4"/>
        <v/>
      </c>
      <c r="H70" s="231" t="str">
        <f t="shared" si="5"/>
        <v/>
      </c>
      <c r="I70" s="228">
        <f t="shared" si="0"/>
        <v>1</v>
      </c>
      <c r="J70" s="228">
        <f t="shared" si="6"/>
        <v>38</v>
      </c>
      <c r="M70" s="237" t="s">
        <v>319</v>
      </c>
      <c r="N70" s="234">
        <f>DATE(cAar,5,1)</f>
        <v>43586</v>
      </c>
      <c r="Q70" s="504">
        <f t="shared" ca="1" si="9"/>
        <v>43914</v>
      </c>
    </row>
    <row r="71" spans="2:17" ht="13.2">
      <c r="B71" s="226" t="str">
        <f t="shared" si="7"/>
        <v/>
      </c>
      <c r="C71" s="227">
        <f t="shared" si="8"/>
        <v>43870</v>
      </c>
      <c r="D71" s="228">
        <f t="shared" si="1"/>
        <v>7</v>
      </c>
      <c r="E71" s="229">
        <f t="shared" si="2"/>
        <v>43870</v>
      </c>
      <c r="F71" s="228">
        <f t="shared" si="3"/>
        <v>0</v>
      </c>
      <c r="G71" s="230" t="str">
        <f t="shared" si="4"/>
        <v/>
      </c>
      <c r="H71" s="231" t="str">
        <f t="shared" si="5"/>
        <v/>
      </c>
      <c r="I71" s="228">
        <f t="shared" si="0"/>
        <v>1</v>
      </c>
      <c r="J71" s="228">
        <f t="shared" si="6"/>
        <v>38</v>
      </c>
      <c r="M71" s="233" t="s">
        <v>320</v>
      </c>
      <c r="N71" s="234">
        <f>DATE(cAar,5,17)</f>
        <v>43602</v>
      </c>
      <c r="Q71" s="504">
        <f t="shared" ca="1" si="9"/>
        <v>43915</v>
      </c>
    </row>
    <row r="72" spans="2:17" ht="13.2">
      <c r="B72" s="226" t="str">
        <f t="shared" si="7"/>
        <v/>
      </c>
      <c r="C72" s="227">
        <f t="shared" si="8"/>
        <v>43871</v>
      </c>
      <c r="D72" s="228">
        <f t="shared" si="1"/>
        <v>1</v>
      </c>
      <c r="E72" s="229">
        <f t="shared" si="2"/>
        <v>43871</v>
      </c>
      <c r="F72" s="228">
        <f t="shared" si="3"/>
        <v>0</v>
      </c>
      <c r="G72" s="230" t="str">
        <f t="shared" si="4"/>
        <v/>
      </c>
      <c r="H72" s="231" t="str">
        <f t="shared" si="5"/>
        <v/>
      </c>
      <c r="I72" s="228">
        <f t="shared" si="0"/>
        <v>0</v>
      </c>
      <c r="J72" s="228">
        <f t="shared" si="6"/>
        <v>39</v>
      </c>
      <c r="M72" s="233" t="s">
        <v>321</v>
      </c>
      <c r="N72" s="234">
        <f>DATE(cAar,12,24)</f>
        <v>43823</v>
      </c>
      <c r="Q72" s="504">
        <f t="shared" ca="1" si="9"/>
        <v>43916</v>
      </c>
    </row>
    <row r="73" spans="2:17" ht="13.2">
      <c r="B73" s="226" t="str">
        <f t="shared" si="7"/>
        <v/>
      </c>
      <c r="C73" s="227">
        <f t="shared" si="8"/>
        <v>43872</v>
      </c>
      <c r="D73" s="228">
        <f t="shared" si="1"/>
        <v>2</v>
      </c>
      <c r="E73" s="229">
        <f t="shared" si="2"/>
        <v>43872</v>
      </c>
      <c r="F73" s="228">
        <f t="shared" si="3"/>
        <v>0</v>
      </c>
      <c r="G73" s="230" t="str">
        <f t="shared" si="4"/>
        <v/>
      </c>
      <c r="H73" s="231" t="str">
        <f t="shared" si="5"/>
        <v/>
      </c>
      <c r="I73" s="228">
        <f t="shared" si="0"/>
        <v>0</v>
      </c>
      <c r="J73" s="228">
        <f t="shared" si="6"/>
        <v>40</v>
      </c>
      <c r="M73" s="233" t="s">
        <v>322</v>
      </c>
      <c r="N73" s="234">
        <f>DATE(cAar,12,25)</f>
        <v>43824</v>
      </c>
      <c r="Q73" s="504">
        <f t="shared" ca="1" si="9"/>
        <v>43917</v>
      </c>
    </row>
    <row r="74" spans="2:17" ht="13.2">
      <c r="B74" s="226" t="str">
        <f t="shared" si="7"/>
        <v/>
      </c>
      <c r="C74" s="227">
        <f t="shared" si="8"/>
        <v>43873</v>
      </c>
      <c r="D74" s="228">
        <f t="shared" si="1"/>
        <v>3</v>
      </c>
      <c r="E74" s="229">
        <f t="shared" si="2"/>
        <v>43873</v>
      </c>
      <c r="F74" s="228">
        <f t="shared" si="3"/>
        <v>0</v>
      </c>
      <c r="G74" s="230" t="str">
        <f t="shared" si="4"/>
        <v/>
      </c>
      <c r="H74" s="231" t="str">
        <f t="shared" si="5"/>
        <v/>
      </c>
      <c r="I74" s="228">
        <f t="shared" si="0"/>
        <v>0</v>
      </c>
      <c r="J74" s="228">
        <f t="shared" si="6"/>
        <v>41</v>
      </c>
      <c r="M74" s="233" t="s">
        <v>323</v>
      </c>
      <c r="N74" s="234">
        <f>DATE(cAar,12,26)</f>
        <v>43825</v>
      </c>
      <c r="Q74" s="504">
        <f t="shared" ca="1" si="9"/>
        <v>43918</v>
      </c>
    </row>
    <row r="75" spans="2:17" ht="13.2">
      <c r="B75" s="226" t="str">
        <f t="shared" si="7"/>
        <v/>
      </c>
      <c r="C75" s="227">
        <f t="shared" si="8"/>
        <v>43874</v>
      </c>
      <c r="D75" s="228">
        <f t="shared" si="1"/>
        <v>4</v>
      </c>
      <c r="E75" s="229">
        <f t="shared" si="2"/>
        <v>43874</v>
      </c>
      <c r="F75" s="228">
        <f t="shared" si="3"/>
        <v>0</v>
      </c>
      <c r="G75" s="230" t="str">
        <f t="shared" si="4"/>
        <v/>
      </c>
      <c r="H75" s="231" t="str">
        <f t="shared" si="5"/>
        <v/>
      </c>
      <c r="I75" s="228">
        <f t="shared" si="0"/>
        <v>0</v>
      </c>
      <c r="J75" s="228">
        <f t="shared" si="6"/>
        <v>42</v>
      </c>
      <c r="M75" s="233"/>
      <c r="N75" s="234"/>
      <c r="Q75" s="504">
        <f t="shared" ca="1" si="9"/>
        <v>43919</v>
      </c>
    </row>
    <row r="76" spans="2:17" ht="13.2">
      <c r="B76" s="226" t="str">
        <f t="shared" si="7"/>
        <v/>
      </c>
      <c r="C76" s="227">
        <f t="shared" si="8"/>
        <v>43875</v>
      </c>
      <c r="D76" s="228">
        <f t="shared" si="1"/>
        <v>5</v>
      </c>
      <c r="E76" s="229">
        <f t="shared" si="2"/>
        <v>43875</v>
      </c>
      <c r="F76" s="228">
        <f t="shared" si="3"/>
        <v>0</v>
      </c>
      <c r="G76" s="230" t="str">
        <f t="shared" si="4"/>
        <v/>
      </c>
      <c r="H76" s="231" t="str">
        <f t="shared" si="5"/>
        <v/>
      </c>
      <c r="I76" s="228">
        <f t="shared" si="0"/>
        <v>0</v>
      </c>
      <c r="J76" s="228">
        <f t="shared" si="6"/>
        <v>43</v>
      </c>
      <c r="M76" s="236" t="s">
        <v>324</v>
      </c>
      <c r="N76" s="234"/>
      <c r="Q76" s="504">
        <f t="shared" ca="1" si="9"/>
        <v>43920</v>
      </c>
    </row>
    <row r="77" spans="2:17" ht="13.2">
      <c r="B77" s="226" t="str">
        <f t="shared" si="7"/>
        <v/>
      </c>
      <c r="C77" s="227">
        <f t="shared" si="8"/>
        <v>43876</v>
      </c>
      <c r="D77" s="228">
        <f t="shared" si="1"/>
        <v>6</v>
      </c>
      <c r="E77" s="229">
        <f t="shared" si="2"/>
        <v>43876</v>
      </c>
      <c r="F77" s="228">
        <f t="shared" si="3"/>
        <v>0</v>
      </c>
      <c r="G77" s="230" t="str">
        <f t="shared" si="4"/>
        <v/>
      </c>
      <c r="H77" s="231" t="str">
        <f t="shared" si="5"/>
        <v/>
      </c>
      <c r="I77" s="228">
        <f t="shared" si="0"/>
        <v>1</v>
      </c>
      <c r="J77" s="228">
        <f t="shared" si="6"/>
        <v>43</v>
      </c>
      <c r="M77" s="233"/>
      <c r="N77" s="234"/>
      <c r="Q77" s="504">
        <f t="shared" ca="1" si="9"/>
        <v>43921</v>
      </c>
    </row>
    <row r="78" spans="2:17" ht="13.8" thickBot="1">
      <c r="B78" s="226" t="str">
        <f t="shared" ref="B78:B141" si="10">IF(J78=$C$4,"Til","")</f>
        <v/>
      </c>
      <c r="C78" s="227">
        <f t="shared" si="8"/>
        <v>43877</v>
      </c>
      <c r="D78" s="228">
        <f t="shared" si="1"/>
        <v>7</v>
      </c>
      <c r="E78" s="229">
        <f t="shared" ref="E78:E141" si="11">C78</f>
        <v>43877</v>
      </c>
      <c r="F78" s="228">
        <f t="shared" ref="F78:F141" si="12">IF(C78="","",IFERROR(MATCH(C78,INDEX(caHellig,,2),0),0))</f>
        <v>0</v>
      </c>
      <c r="G78" s="230" t="str">
        <f t="shared" ref="G78:G141" si="13">IF(C78="","",IF(F78&gt;0,INDEX(caHellig,F78,2),""))</f>
        <v/>
      </c>
      <c r="H78" s="231" t="str">
        <f t="shared" ref="H78:H141" si="14">IF(C78="","",IF(F78&gt;0,INDEX(caHellig,F78,1),""))</f>
        <v/>
      </c>
      <c r="I78" s="228">
        <f t="shared" ref="I78:I141" si="15">IF(C78="","",IF(OR(D78&gt;5,F78,0),1,0))</f>
        <v>1</v>
      </c>
      <c r="J78" s="228">
        <f t="shared" ref="J78:J141" si="16">IF(C78="","",IF(I78=0,J77+1,J77))</f>
        <v>43</v>
      </c>
      <c r="M78" s="238"/>
      <c r="N78" s="239"/>
      <c r="Q78" s="504">
        <f t="shared" ca="1" si="9"/>
        <v>43922</v>
      </c>
    </row>
    <row r="79" spans="2:17">
      <c r="B79" s="226" t="str">
        <f t="shared" si="10"/>
        <v/>
      </c>
      <c r="C79" s="227">
        <f t="shared" ref="C79:C142" si="17">C78+1</f>
        <v>43878</v>
      </c>
      <c r="D79" s="228">
        <f t="shared" ref="D79:D142" si="18">IF(C79&lt;&gt;"",WEEKDAY(C79,2),"")</f>
        <v>1</v>
      </c>
      <c r="E79" s="229">
        <f t="shared" si="11"/>
        <v>43878</v>
      </c>
      <c r="F79" s="228">
        <f t="shared" si="12"/>
        <v>0</v>
      </c>
      <c r="G79" s="230" t="str">
        <f t="shared" si="13"/>
        <v/>
      </c>
      <c r="H79" s="231" t="str">
        <f t="shared" si="14"/>
        <v/>
      </c>
      <c r="I79" s="228">
        <f t="shared" si="15"/>
        <v>0</v>
      </c>
      <c r="J79" s="228">
        <f t="shared" si="16"/>
        <v>44</v>
      </c>
      <c r="Q79" s="504">
        <f t="shared" ref="Q79:Q142" ca="1" si="19">Q78+1</f>
        <v>43923</v>
      </c>
    </row>
    <row r="80" spans="2:17">
      <c r="B80" s="226" t="str">
        <f t="shared" si="10"/>
        <v/>
      </c>
      <c r="C80" s="227">
        <f t="shared" si="17"/>
        <v>43879</v>
      </c>
      <c r="D80" s="228">
        <f t="shared" si="18"/>
        <v>2</v>
      </c>
      <c r="E80" s="229">
        <f t="shared" si="11"/>
        <v>43879</v>
      </c>
      <c r="F80" s="228">
        <f t="shared" si="12"/>
        <v>0</v>
      </c>
      <c r="G80" s="230" t="str">
        <f t="shared" si="13"/>
        <v/>
      </c>
      <c r="H80" s="231" t="str">
        <f t="shared" si="14"/>
        <v/>
      </c>
      <c r="I80" s="228">
        <f t="shared" si="15"/>
        <v>0</v>
      </c>
      <c r="J80" s="228">
        <f t="shared" si="16"/>
        <v>45</v>
      </c>
      <c r="Q80" s="504">
        <f t="shared" ca="1" si="19"/>
        <v>43924</v>
      </c>
    </row>
    <row r="81" spans="2:17">
      <c r="B81" s="226" t="str">
        <f t="shared" si="10"/>
        <v/>
      </c>
      <c r="C81" s="227">
        <f t="shared" si="17"/>
        <v>43880</v>
      </c>
      <c r="D81" s="228">
        <f t="shared" si="18"/>
        <v>3</v>
      </c>
      <c r="E81" s="229">
        <f t="shared" si="11"/>
        <v>43880</v>
      </c>
      <c r="F81" s="228">
        <f t="shared" si="12"/>
        <v>0</v>
      </c>
      <c r="G81" s="230" t="str">
        <f t="shared" si="13"/>
        <v/>
      </c>
      <c r="H81" s="231" t="str">
        <f t="shared" si="14"/>
        <v/>
      </c>
      <c r="I81" s="228">
        <f t="shared" si="15"/>
        <v>0</v>
      </c>
      <c r="J81" s="228">
        <f t="shared" si="16"/>
        <v>46</v>
      </c>
      <c r="Q81" s="504">
        <f t="shared" ca="1" si="19"/>
        <v>43925</v>
      </c>
    </row>
    <row r="82" spans="2:17">
      <c r="B82" s="226" t="str">
        <f t="shared" si="10"/>
        <v/>
      </c>
      <c r="C82" s="227">
        <f t="shared" si="17"/>
        <v>43881</v>
      </c>
      <c r="D82" s="228">
        <f t="shared" si="18"/>
        <v>4</v>
      </c>
      <c r="E82" s="229">
        <f t="shared" si="11"/>
        <v>43881</v>
      </c>
      <c r="F82" s="228">
        <f t="shared" si="12"/>
        <v>0</v>
      </c>
      <c r="G82" s="230" t="str">
        <f t="shared" si="13"/>
        <v/>
      </c>
      <c r="H82" s="231" t="str">
        <f t="shared" si="14"/>
        <v/>
      </c>
      <c r="I82" s="228">
        <f t="shared" si="15"/>
        <v>0</v>
      </c>
      <c r="J82" s="228">
        <f t="shared" si="16"/>
        <v>47</v>
      </c>
      <c r="Q82" s="504">
        <f t="shared" ca="1" si="19"/>
        <v>43926</v>
      </c>
    </row>
    <row r="83" spans="2:17">
      <c r="B83" s="226" t="str">
        <f t="shared" si="10"/>
        <v/>
      </c>
      <c r="C83" s="227">
        <f t="shared" si="17"/>
        <v>43882</v>
      </c>
      <c r="D83" s="228">
        <f t="shared" si="18"/>
        <v>5</v>
      </c>
      <c r="E83" s="229">
        <f t="shared" si="11"/>
        <v>43882</v>
      </c>
      <c r="F83" s="228">
        <f t="shared" si="12"/>
        <v>0</v>
      </c>
      <c r="G83" s="230" t="str">
        <f t="shared" si="13"/>
        <v/>
      </c>
      <c r="H83" s="231" t="str">
        <f t="shared" si="14"/>
        <v/>
      </c>
      <c r="I83" s="228">
        <f t="shared" si="15"/>
        <v>0</v>
      </c>
      <c r="J83" s="228">
        <f t="shared" si="16"/>
        <v>48</v>
      </c>
      <c r="Q83" s="504">
        <f t="shared" ca="1" si="19"/>
        <v>43927</v>
      </c>
    </row>
    <row r="84" spans="2:17">
      <c r="B84" s="226" t="str">
        <f t="shared" si="10"/>
        <v/>
      </c>
      <c r="C84" s="227">
        <f t="shared" si="17"/>
        <v>43883</v>
      </c>
      <c r="D84" s="228">
        <f t="shared" si="18"/>
        <v>6</v>
      </c>
      <c r="E84" s="229">
        <f t="shared" si="11"/>
        <v>43883</v>
      </c>
      <c r="F84" s="228">
        <f t="shared" si="12"/>
        <v>0</v>
      </c>
      <c r="G84" s="230" t="str">
        <f t="shared" si="13"/>
        <v/>
      </c>
      <c r="H84" s="231" t="str">
        <f t="shared" si="14"/>
        <v/>
      </c>
      <c r="I84" s="228">
        <f t="shared" si="15"/>
        <v>1</v>
      </c>
      <c r="J84" s="228">
        <f t="shared" si="16"/>
        <v>48</v>
      </c>
      <c r="Q84" s="504">
        <f t="shared" ca="1" si="19"/>
        <v>43928</v>
      </c>
    </row>
    <row r="85" spans="2:17">
      <c r="B85" s="226" t="str">
        <f t="shared" si="10"/>
        <v/>
      </c>
      <c r="C85" s="227">
        <f t="shared" si="17"/>
        <v>43884</v>
      </c>
      <c r="D85" s="228">
        <f t="shared" si="18"/>
        <v>7</v>
      </c>
      <c r="E85" s="229">
        <f t="shared" si="11"/>
        <v>43884</v>
      </c>
      <c r="F85" s="228">
        <f t="shared" si="12"/>
        <v>0</v>
      </c>
      <c r="G85" s="230" t="str">
        <f t="shared" si="13"/>
        <v/>
      </c>
      <c r="H85" s="231" t="str">
        <f t="shared" si="14"/>
        <v/>
      </c>
      <c r="I85" s="228">
        <f t="shared" si="15"/>
        <v>1</v>
      </c>
      <c r="J85" s="228">
        <f t="shared" si="16"/>
        <v>48</v>
      </c>
      <c r="Q85" s="504">
        <f t="shared" ca="1" si="19"/>
        <v>43929</v>
      </c>
    </row>
    <row r="86" spans="2:17">
      <c r="B86" s="226" t="str">
        <f t="shared" si="10"/>
        <v/>
      </c>
      <c r="C86" s="227">
        <f t="shared" si="17"/>
        <v>43885</v>
      </c>
      <c r="D86" s="228">
        <f t="shared" si="18"/>
        <v>1</v>
      </c>
      <c r="E86" s="229">
        <f t="shared" si="11"/>
        <v>43885</v>
      </c>
      <c r="F86" s="228">
        <f t="shared" si="12"/>
        <v>0</v>
      </c>
      <c r="G86" s="230" t="str">
        <f t="shared" si="13"/>
        <v/>
      </c>
      <c r="H86" s="231" t="str">
        <f t="shared" si="14"/>
        <v/>
      </c>
      <c r="I86" s="228">
        <f t="shared" si="15"/>
        <v>0</v>
      </c>
      <c r="J86" s="228">
        <f t="shared" si="16"/>
        <v>49</v>
      </c>
      <c r="Q86" s="504">
        <f t="shared" ca="1" si="19"/>
        <v>43930</v>
      </c>
    </row>
    <row r="87" spans="2:17">
      <c r="B87" s="226" t="str">
        <f t="shared" si="10"/>
        <v/>
      </c>
      <c r="C87" s="227">
        <f t="shared" si="17"/>
        <v>43886</v>
      </c>
      <c r="D87" s="228">
        <f t="shared" si="18"/>
        <v>2</v>
      </c>
      <c r="E87" s="229">
        <f t="shared" si="11"/>
        <v>43886</v>
      </c>
      <c r="F87" s="228">
        <f t="shared" si="12"/>
        <v>0</v>
      </c>
      <c r="G87" s="230" t="str">
        <f t="shared" si="13"/>
        <v/>
      </c>
      <c r="H87" s="231" t="str">
        <f t="shared" si="14"/>
        <v/>
      </c>
      <c r="I87" s="228">
        <f t="shared" si="15"/>
        <v>0</v>
      </c>
      <c r="J87" s="228">
        <f t="shared" si="16"/>
        <v>50</v>
      </c>
      <c r="Q87" s="504">
        <f t="shared" ca="1" si="19"/>
        <v>43931</v>
      </c>
    </row>
    <row r="88" spans="2:17">
      <c r="B88" s="226" t="str">
        <f t="shared" si="10"/>
        <v/>
      </c>
      <c r="C88" s="227">
        <f t="shared" si="17"/>
        <v>43887</v>
      </c>
      <c r="D88" s="228">
        <f t="shared" si="18"/>
        <v>3</v>
      </c>
      <c r="E88" s="229">
        <f t="shared" si="11"/>
        <v>43887</v>
      </c>
      <c r="F88" s="228">
        <f t="shared" si="12"/>
        <v>0</v>
      </c>
      <c r="G88" s="230" t="str">
        <f t="shared" si="13"/>
        <v/>
      </c>
      <c r="H88" s="231" t="str">
        <f t="shared" si="14"/>
        <v/>
      </c>
      <c r="I88" s="228">
        <f t="shared" si="15"/>
        <v>0</v>
      </c>
      <c r="J88" s="228">
        <f t="shared" si="16"/>
        <v>51</v>
      </c>
      <c r="Q88" s="504">
        <f t="shared" ca="1" si="19"/>
        <v>43932</v>
      </c>
    </row>
    <row r="89" spans="2:17">
      <c r="B89" s="226" t="str">
        <f t="shared" si="10"/>
        <v/>
      </c>
      <c r="C89" s="227">
        <f t="shared" si="17"/>
        <v>43888</v>
      </c>
      <c r="D89" s="228">
        <f t="shared" si="18"/>
        <v>4</v>
      </c>
      <c r="E89" s="229">
        <f t="shared" si="11"/>
        <v>43888</v>
      </c>
      <c r="F89" s="228">
        <f t="shared" si="12"/>
        <v>0</v>
      </c>
      <c r="G89" s="230" t="str">
        <f t="shared" si="13"/>
        <v/>
      </c>
      <c r="H89" s="231" t="str">
        <f t="shared" si="14"/>
        <v/>
      </c>
      <c r="I89" s="228">
        <f t="shared" si="15"/>
        <v>0</v>
      </c>
      <c r="J89" s="228">
        <f t="shared" si="16"/>
        <v>52</v>
      </c>
      <c r="Q89" s="504">
        <f t="shared" ca="1" si="19"/>
        <v>43933</v>
      </c>
    </row>
    <row r="90" spans="2:17">
      <c r="B90" s="226" t="str">
        <f t="shared" si="10"/>
        <v/>
      </c>
      <c r="C90" s="227">
        <f t="shared" si="17"/>
        <v>43889</v>
      </c>
      <c r="D90" s="228">
        <f t="shared" si="18"/>
        <v>5</v>
      </c>
      <c r="E90" s="229">
        <f t="shared" si="11"/>
        <v>43889</v>
      </c>
      <c r="F90" s="228">
        <f t="shared" si="12"/>
        <v>0</v>
      </c>
      <c r="G90" s="230" t="str">
        <f t="shared" si="13"/>
        <v/>
      </c>
      <c r="H90" s="231" t="str">
        <f t="shared" si="14"/>
        <v/>
      </c>
      <c r="I90" s="228">
        <f t="shared" si="15"/>
        <v>0</v>
      </c>
      <c r="J90" s="228">
        <f t="shared" si="16"/>
        <v>53</v>
      </c>
      <c r="Q90" s="504">
        <f t="shared" ca="1" si="19"/>
        <v>43934</v>
      </c>
    </row>
    <row r="91" spans="2:17">
      <c r="B91" s="226" t="str">
        <f t="shared" si="10"/>
        <v/>
      </c>
      <c r="C91" s="227">
        <f t="shared" si="17"/>
        <v>43890</v>
      </c>
      <c r="D91" s="228">
        <f t="shared" si="18"/>
        <v>6</v>
      </c>
      <c r="E91" s="229">
        <f t="shared" si="11"/>
        <v>43890</v>
      </c>
      <c r="F91" s="228">
        <f t="shared" si="12"/>
        <v>0</v>
      </c>
      <c r="G91" s="230" t="str">
        <f t="shared" si="13"/>
        <v/>
      </c>
      <c r="H91" s="231" t="str">
        <f t="shared" si="14"/>
        <v/>
      </c>
      <c r="I91" s="228">
        <f t="shared" si="15"/>
        <v>1</v>
      </c>
      <c r="J91" s="228">
        <f t="shared" si="16"/>
        <v>53</v>
      </c>
      <c r="Q91" s="504">
        <f t="shared" ca="1" si="19"/>
        <v>43935</v>
      </c>
    </row>
    <row r="92" spans="2:17">
      <c r="B92" s="226" t="str">
        <f t="shared" si="10"/>
        <v/>
      </c>
      <c r="C92" s="227">
        <f t="shared" si="17"/>
        <v>43891</v>
      </c>
      <c r="D92" s="228">
        <f t="shared" si="18"/>
        <v>7</v>
      </c>
      <c r="E92" s="229">
        <f t="shared" si="11"/>
        <v>43891</v>
      </c>
      <c r="F92" s="228">
        <f t="shared" si="12"/>
        <v>0</v>
      </c>
      <c r="G92" s="230" t="str">
        <f t="shared" si="13"/>
        <v/>
      </c>
      <c r="H92" s="231" t="str">
        <f t="shared" si="14"/>
        <v/>
      </c>
      <c r="I92" s="228">
        <f t="shared" si="15"/>
        <v>1</v>
      </c>
      <c r="J92" s="228">
        <f t="shared" si="16"/>
        <v>53</v>
      </c>
      <c r="Q92" s="504">
        <f t="shared" ca="1" si="19"/>
        <v>43936</v>
      </c>
    </row>
    <row r="93" spans="2:17">
      <c r="B93" s="226" t="str">
        <f t="shared" si="10"/>
        <v/>
      </c>
      <c r="C93" s="227">
        <f t="shared" si="17"/>
        <v>43892</v>
      </c>
      <c r="D93" s="228">
        <f t="shared" si="18"/>
        <v>1</v>
      </c>
      <c r="E93" s="229">
        <f t="shared" si="11"/>
        <v>43892</v>
      </c>
      <c r="F93" s="228">
        <f t="shared" si="12"/>
        <v>0</v>
      </c>
      <c r="G93" s="230" t="str">
        <f t="shared" si="13"/>
        <v/>
      </c>
      <c r="H93" s="231" t="str">
        <f t="shared" si="14"/>
        <v/>
      </c>
      <c r="I93" s="228">
        <f t="shared" si="15"/>
        <v>0</v>
      </c>
      <c r="J93" s="228">
        <f t="shared" si="16"/>
        <v>54</v>
      </c>
      <c r="Q93" s="504">
        <f t="shared" ca="1" si="19"/>
        <v>43937</v>
      </c>
    </row>
    <row r="94" spans="2:17">
      <c r="B94" s="226" t="str">
        <f t="shared" si="10"/>
        <v/>
      </c>
      <c r="C94" s="227">
        <f t="shared" si="17"/>
        <v>43893</v>
      </c>
      <c r="D94" s="228">
        <f t="shared" si="18"/>
        <v>2</v>
      </c>
      <c r="E94" s="229">
        <f t="shared" si="11"/>
        <v>43893</v>
      </c>
      <c r="F94" s="228">
        <f t="shared" si="12"/>
        <v>0</v>
      </c>
      <c r="G94" s="230" t="str">
        <f t="shared" si="13"/>
        <v/>
      </c>
      <c r="H94" s="231" t="str">
        <f t="shared" si="14"/>
        <v/>
      </c>
      <c r="I94" s="228">
        <f t="shared" si="15"/>
        <v>0</v>
      </c>
      <c r="J94" s="228">
        <f t="shared" si="16"/>
        <v>55</v>
      </c>
      <c r="Q94" s="504">
        <f t="shared" ca="1" si="19"/>
        <v>43938</v>
      </c>
    </row>
    <row r="95" spans="2:17">
      <c r="B95" s="226" t="str">
        <f t="shared" si="10"/>
        <v/>
      </c>
      <c r="C95" s="227">
        <f t="shared" si="17"/>
        <v>43894</v>
      </c>
      <c r="D95" s="228">
        <f t="shared" si="18"/>
        <v>3</v>
      </c>
      <c r="E95" s="229">
        <f t="shared" si="11"/>
        <v>43894</v>
      </c>
      <c r="F95" s="228">
        <f t="shared" si="12"/>
        <v>0</v>
      </c>
      <c r="G95" s="230" t="str">
        <f t="shared" si="13"/>
        <v/>
      </c>
      <c r="H95" s="231" t="str">
        <f t="shared" si="14"/>
        <v/>
      </c>
      <c r="I95" s="228">
        <f t="shared" si="15"/>
        <v>0</v>
      </c>
      <c r="J95" s="228">
        <f t="shared" si="16"/>
        <v>56</v>
      </c>
      <c r="Q95" s="504">
        <f t="shared" ca="1" si="19"/>
        <v>43939</v>
      </c>
    </row>
    <row r="96" spans="2:17">
      <c r="B96" s="226" t="str">
        <f t="shared" si="10"/>
        <v/>
      </c>
      <c r="C96" s="227">
        <f t="shared" si="17"/>
        <v>43895</v>
      </c>
      <c r="D96" s="228">
        <f t="shared" si="18"/>
        <v>4</v>
      </c>
      <c r="E96" s="229">
        <f t="shared" si="11"/>
        <v>43895</v>
      </c>
      <c r="F96" s="228">
        <f t="shared" si="12"/>
        <v>0</v>
      </c>
      <c r="G96" s="230" t="str">
        <f t="shared" si="13"/>
        <v/>
      </c>
      <c r="H96" s="231" t="str">
        <f t="shared" si="14"/>
        <v/>
      </c>
      <c r="I96" s="228">
        <f t="shared" si="15"/>
        <v>0</v>
      </c>
      <c r="J96" s="228">
        <f t="shared" si="16"/>
        <v>57</v>
      </c>
      <c r="Q96" s="504">
        <f t="shared" ca="1" si="19"/>
        <v>43940</v>
      </c>
    </row>
    <row r="97" spans="2:17">
      <c r="B97" s="226" t="str">
        <f t="shared" si="10"/>
        <v/>
      </c>
      <c r="C97" s="227">
        <f t="shared" si="17"/>
        <v>43896</v>
      </c>
      <c r="D97" s="228">
        <f t="shared" si="18"/>
        <v>5</v>
      </c>
      <c r="E97" s="229">
        <f t="shared" si="11"/>
        <v>43896</v>
      </c>
      <c r="F97" s="228">
        <f t="shared" si="12"/>
        <v>0</v>
      </c>
      <c r="G97" s="230" t="str">
        <f t="shared" si="13"/>
        <v/>
      </c>
      <c r="H97" s="231" t="str">
        <f t="shared" si="14"/>
        <v/>
      </c>
      <c r="I97" s="228">
        <f t="shared" si="15"/>
        <v>0</v>
      </c>
      <c r="J97" s="228">
        <f t="shared" si="16"/>
        <v>58</v>
      </c>
      <c r="Q97" s="504">
        <f t="shared" ca="1" si="19"/>
        <v>43941</v>
      </c>
    </row>
    <row r="98" spans="2:17">
      <c r="B98" s="226" t="str">
        <f t="shared" si="10"/>
        <v/>
      </c>
      <c r="C98" s="227">
        <f t="shared" si="17"/>
        <v>43897</v>
      </c>
      <c r="D98" s="228">
        <f t="shared" si="18"/>
        <v>6</v>
      </c>
      <c r="E98" s="229">
        <f t="shared" si="11"/>
        <v>43897</v>
      </c>
      <c r="F98" s="228">
        <f t="shared" si="12"/>
        <v>0</v>
      </c>
      <c r="G98" s="230" t="str">
        <f t="shared" si="13"/>
        <v/>
      </c>
      <c r="H98" s="231" t="str">
        <f t="shared" si="14"/>
        <v/>
      </c>
      <c r="I98" s="228">
        <f t="shared" si="15"/>
        <v>1</v>
      </c>
      <c r="J98" s="228">
        <f t="shared" si="16"/>
        <v>58</v>
      </c>
      <c r="Q98" s="504">
        <f t="shared" ca="1" si="19"/>
        <v>43942</v>
      </c>
    </row>
    <row r="99" spans="2:17">
      <c r="B99" s="226" t="str">
        <f t="shared" si="10"/>
        <v/>
      </c>
      <c r="C99" s="227">
        <f t="shared" si="17"/>
        <v>43898</v>
      </c>
      <c r="D99" s="228">
        <f t="shared" si="18"/>
        <v>7</v>
      </c>
      <c r="E99" s="229">
        <f t="shared" si="11"/>
        <v>43898</v>
      </c>
      <c r="F99" s="228">
        <f t="shared" si="12"/>
        <v>0</v>
      </c>
      <c r="G99" s="230" t="str">
        <f t="shared" si="13"/>
        <v/>
      </c>
      <c r="H99" s="231" t="str">
        <f t="shared" si="14"/>
        <v/>
      </c>
      <c r="I99" s="228">
        <f t="shared" si="15"/>
        <v>1</v>
      </c>
      <c r="J99" s="228">
        <f t="shared" si="16"/>
        <v>58</v>
      </c>
      <c r="Q99" s="504">
        <f t="shared" ca="1" si="19"/>
        <v>43943</v>
      </c>
    </row>
    <row r="100" spans="2:17">
      <c r="B100" s="226" t="str">
        <f t="shared" si="10"/>
        <v/>
      </c>
      <c r="C100" s="227">
        <f t="shared" si="17"/>
        <v>43899</v>
      </c>
      <c r="D100" s="228">
        <f t="shared" si="18"/>
        <v>1</v>
      </c>
      <c r="E100" s="229">
        <f t="shared" si="11"/>
        <v>43899</v>
      </c>
      <c r="F100" s="228">
        <f t="shared" si="12"/>
        <v>0</v>
      </c>
      <c r="G100" s="230" t="str">
        <f t="shared" si="13"/>
        <v/>
      </c>
      <c r="H100" s="231" t="str">
        <f t="shared" si="14"/>
        <v/>
      </c>
      <c r="I100" s="228">
        <f t="shared" si="15"/>
        <v>0</v>
      </c>
      <c r="J100" s="228">
        <f t="shared" si="16"/>
        <v>59</v>
      </c>
      <c r="Q100" s="504">
        <f t="shared" ca="1" si="19"/>
        <v>43944</v>
      </c>
    </row>
    <row r="101" spans="2:17">
      <c r="B101" s="226" t="str">
        <f t="shared" si="10"/>
        <v/>
      </c>
      <c r="C101" s="227">
        <f t="shared" si="17"/>
        <v>43900</v>
      </c>
      <c r="D101" s="228">
        <f t="shared" si="18"/>
        <v>2</v>
      </c>
      <c r="E101" s="229">
        <f t="shared" si="11"/>
        <v>43900</v>
      </c>
      <c r="F101" s="228">
        <f t="shared" si="12"/>
        <v>0</v>
      </c>
      <c r="G101" s="230" t="str">
        <f t="shared" si="13"/>
        <v/>
      </c>
      <c r="H101" s="231" t="str">
        <f t="shared" si="14"/>
        <v/>
      </c>
      <c r="I101" s="228">
        <f t="shared" si="15"/>
        <v>0</v>
      </c>
      <c r="J101" s="228">
        <f t="shared" si="16"/>
        <v>60</v>
      </c>
      <c r="Q101" s="504">
        <f t="shared" ca="1" si="19"/>
        <v>43945</v>
      </c>
    </row>
    <row r="102" spans="2:17">
      <c r="B102" s="226" t="str">
        <f t="shared" si="10"/>
        <v/>
      </c>
      <c r="C102" s="227">
        <f t="shared" si="17"/>
        <v>43901</v>
      </c>
      <c r="D102" s="228">
        <f t="shared" si="18"/>
        <v>3</v>
      </c>
      <c r="E102" s="229">
        <f t="shared" si="11"/>
        <v>43901</v>
      </c>
      <c r="F102" s="228">
        <f t="shared" si="12"/>
        <v>0</v>
      </c>
      <c r="G102" s="230" t="str">
        <f t="shared" si="13"/>
        <v/>
      </c>
      <c r="H102" s="231" t="str">
        <f t="shared" si="14"/>
        <v/>
      </c>
      <c r="I102" s="228">
        <f t="shared" si="15"/>
        <v>0</v>
      </c>
      <c r="J102" s="228">
        <f t="shared" si="16"/>
        <v>61</v>
      </c>
      <c r="Q102" s="504">
        <f t="shared" ca="1" si="19"/>
        <v>43946</v>
      </c>
    </row>
    <row r="103" spans="2:17">
      <c r="B103" s="226" t="str">
        <f t="shared" si="10"/>
        <v/>
      </c>
      <c r="C103" s="227">
        <f t="shared" si="17"/>
        <v>43902</v>
      </c>
      <c r="D103" s="228">
        <f t="shared" si="18"/>
        <v>4</v>
      </c>
      <c r="E103" s="229">
        <f t="shared" si="11"/>
        <v>43902</v>
      </c>
      <c r="F103" s="228">
        <f t="shared" si="12"/>
        <v>0</v>
      </c>
      <c r="G103" s="230" t="str">
        <f t="shared" si="13"/>
        <v/>
      </c>
      <c r="H103" s="231" t="str">
        <f t="shared" si="14"/>
        <v/>
      </c>
      <c r="I103" s="228">
        <f t="shared" si="15"/>
        <v>0</v>
      </c>
      <c r="J103" s="228">
        <f t="shared" si="16"/>
        <v>62</v>
      </c>
      <c r="Q103" s="504">
        <f t="shared" ca="1" si="19"/>
        <v>43947</v>
      </c>
    </row>
    <row r="104" spans="2:17">
      <c r="B104" s="226" t="str">
        <f t="shared" si="10"/>
        <v/>
      </c>
      <c r="C104" s="227">
        <f t="shared" si="17"/>
        <v>43903</v>
      </c>
      <c r="D104" s="228">
        <f t="shared" si="18"/>
        <v>5</v>
      </c>
      <c r="E104" s="229">
        <f t="shared" si="11"/>
        <v>43903</v>
      </c>
      <c r="F104" s="228">
        <f t="shared" si="12"/>
        <v>0</v>
      </c>
      <c r="G104" s="230" t="str">
        <f t="shared" si="13"/>
        <v/>
      </c>
      <c r="H104" s="231" t="str">
        <f t="shared" si="14"/>
        <v/>
      </c>
      <c r="I104" s="228">
        <f t="shared" si="15"/>
        <v>0</v>
      </c>
      <c r="J104" s="228">
        <f t="shared" si="16"/>
        <v>63</v>
      </c>
      <c r="Q104" s="504">
        <f t="shared" ca="1" si="19"/>
        <v>43948</v>
      </c>
    </row>
    <row r="105" spans="2:17">
      <c r="B105" s="226" t="str">
        <f t="shared" si="10"/>
        <v/>
      </c>
      <c r="C105" s="227">
        <f t="shared" si="17"/>
        <v>43904</v>
      </c>
      <c r="D105" s="228">
        <f t="shared" si="18"/>
        <v>6</v>
      </c>
      <c r="E105" s="229">
        <f t="shared" si="11"/>
        <v>43904</v>
      </c>
      <c r="F105" s="228">
        <f t="shared" si="12"/>
        <v>0</v>
      </c>
      <c r="G105" s="230" t="str">
        <f t="shared" si="13"/>
        <v/>
      </c>
      <c r="H105" s="231" t="str">
        <f t="shared" si="14"/>
        <v/>
      </c>
      <c r="I105" s="228">
        <f t="shared" si="15"/>
        <v>1</v>
      </c>
      <c r="J105" s="228">
        <f t="shared" si="16"/>
        <v>63</v>
      </c>
      <c r="Q105" s="504">
        <f t="shared" ca="1" si="19"/>
        <v>43949</v>
      </c>
    </row>
    <row r="106" spans="2:17">
      <c r="B106" s="226" t="str">
        <f t="shared" si="10"/>
        <v/>
      </c>
      <c r="C106" s="227">
        <f t="shared" si="17"/>
        <v>43905</v>
      </c>
      <c r="D106" s="228">
        <f t="shared" si="18"/>
        <v>7</v>
      </c>
      <c r="E106" s="229">
        <f t="shared" si="11"/>
        <v>43905</v>
      </c>
      <c r="F106" s="228">
        <f t="shared" si="12"/>
        <v>0</v>
      </c>
      <c r="G106" s="230" t="str">
        <f t="shared" si="13"/>
        <v/>
      </c>
      <c r="H106" s="231" t="str">
        <f t="shared" si="14"/>
        <v/>
      </c>
      <c r="I106" s="228">
        <f t="shared" si="15"/>
        <v>1</v>
      </c>
      <c r="J106" s="228">
        <f t="shared" si="16"/>
        <v>63</v>
      </c>
      <c r="Q106" s="504">
        <f t="shared" ca="1" si="19"/>
        <v>43950</v>
      </c>
    </row>
    <row r="107" spans="2:17">
      <c r="B107" s="226" t="str">
        <f t="shared" si="10"/>
        <v/>
      </c>
      <c r="C107" s="227">
        <f t="shared" si="17"/>
        <v>43906</v>
      </c>
      <c r="D107" s="228">
        <f t="shared" si="18"/>
        <v>1</v>
      </c>
      <c r="E107" s="229">
        <f t="shared" si="11"/>
        <v>43906</v>
      </c>
      <c r="F107" s="228">
        <f t="shared" si="12"/>
        <v>0</v>
      </c>
      <c r="G107" s="230" t="str">
        <f t="shared" si="13"/>
        <v/>
      </c>
      <c r="H107" s="231" t="str">
        <f t="shared" si="14"/>
        <v/>
      </c>
      <c r="I107" s="228">
        <f t="shared" si="15"/>
        <v>0</v>
      </c>
      <c r="J107" s="228">
        <f t="shared" si="16"/>
        <v>64</v>
      </c>
      <c r="Q107" s="504">
        <f t="shared" ca="1" si="19"/>
        <v>43951</v>
      </c>
    </row>
    <row r="108" spans="2:17">
      <c r="B108" s="226" t="str">
        <f t="shared" si="10"/>
        <v/>
      </c>
      <c r="C108" s="227">
        <f t="shared" si="17"/>
        <v>43907</v>
      </c>
      <c r="D108" s="228">
        <f t="shared" si="18"/>
        <v>2</v>
      </c>
      <c r="E108" s="229">
        <f t="shared" si="11"/>
        <v>43907</v>
      </c>
      <c r="F108" s="228">
        <f t="shared" si="12"/>
        <v>0</v>
      </c>
      <c r="G108" s="230" t="str">
        <f t="shared" si="13"/>
        <v/>
      </c>
      <c r="H108" s="231" t="str">
        <f t="shared" si="14"/>
        <v/>
      </c>
      <c r="I108" s="228">
        <f t="shared" si="15"/>
        <v>0</v>
      </c>
      <c r="J108" s="228">
        <f t="shared" si="16"/>
        <v>65</v>
      </c>
      <c r="Q108" s="504">
        <f t="shared" ca="1" si="19"/>
        <v>43952</v>
      </c>
    </row>
    <row r="109" spans="2:17">
      <c r="B109" s="226" t="str">
        <f t="shared" si="10"/>
        <v/>
      </c>
      <c r="C109" s="227">
        <f t="shared" si="17"/>
        <v>43908</v>
      </c>
      <c r="D109" s="228">
        <f t="shared" si="18"/>
        <v>3</v>
      </c>
      <c r="E109" s="229">
        <f t="shared" si="11"/>
        <v>43908</v>
      </c>
      <c r="F109" s="228">
        <f t="shared" si="12"/>
        <v>0</v>
      </c>
      <c r="G109" s="230" t="str">
        <f t="shared" si="13"/>
        <v/>
      </c>
      <c r="H109" s="231" t="str">
        <f t="shared" si="14"/>
        <v/>
      </c>
      <c r="I109" s="228">
        <f t="shared" si="15"/>
        <v>0</v>
      </c>
      <c r="J109" s="228">
        <f t="shared" si="16"/>
        <v>66</v>
      </c>
      <c r="Q109" s="504">
        <f t="shared" ca="1" si="19"/>
        <v>43953</v>
      </c>
    </row>
    <row r="110" spans="2:17">
      <c r="B110" s="226" t="str">
        <f t="shared" si="10"/>
        <v/>
      </c>
      <c r="C110" s="227">
        <f t="shared" si="17"/>
        <v>43909</v>
      </c>
      <c r="D110" s="228">
        <f t="shared" si="18"/>
        <v>4</v>
      </c>
      <c r="E110" s="229">
        <f t="shared" si="11"/>
        <v>43909</v>
      </c>
      <c r="F110" s="228">
        <f t="shared" si="12"/>
        <v>0</v>
      </c>
      <c r="G110" s="230" t="str">
        <f t="shared" si="13"/>
        <v/>
      </c>
      <c r="H110" s="231" t="str">
        <f t="shared" si="14"/>
        <v/>
      </c>
      <c r="I110" s="228">
        <f t="shared" si="15"/>
        <v>0</v>
      </c>
      <c r="J110" s="228">
        <f t="shared" si="16"/>
        <v>67</v>
      </c>
      <c r="Q110" s="504">
        <f t="shared" ca="1" si="19"/>
        <v>43954</v>
      </c>
    </row>
    <row r="111" spans="2:17">
      <c r="B111" s="226" t="str">
        <f t="shared" si="10"/>
        <v/>
      </c>
      <c r="C111" s="227">
        <f t="shared" si="17"/>
        <v>43910</v>
      </c>
      <c r="D111" s="228">
        <f t="shared" si="18"/>
        <v>5</v>
      </c>
      <c r="E111" s="229">
        <f t="shared" si="11"/>
        <v>43910</v>
      </c>
      <c r="F111" s="228">
        <f t="shared" si="12"/>
        <v>0</v>
      </c>
      <c r="G111" s="230" t="str">
        <f t="shared" si="13"/>
        <v/>
      </c>
      <c r="H111" s="231" t="str">
        <f t="shared" si="14"/>
        <v/>
      </c>
      <c r="I111" s="228">
        <f t="shared" si="15"/>
        <v>0</v>
      </c>
      <c r="J111" s="228">
        <f t="shared" si="16"/>
        <v>68</v>
      </c>
      <c r="Q111" s="504">
        <f t="shared" ca="1" si="19"/>
        <v>43955</v>
      </c>
    </row>
    <row r="112" spans="2:17">
      <c r="B112" s="226" t="str">
        <f t="shared" si="10"/>
        <v/>
      </c>
      <c r="C112" s="227">
        <f t="shared" si="17"/>
        <v>43911</v>
      </c>
      <c r="D112" s="228">
        <f t="shared" si="18"/>
        <v>6</v>
      </c>
      <c r="E112" s="229">
        <f t="shared" si="11"/>
        <v>43911</v>
      </c>
      <c r="F112" s="228">
        <f t="shared" si="12"/>
        <v>0</v>
      </c>
      <c r="G112" s="230" t="str">
        <f t="shared" si="13"/>
        <v/>
      </c>
      <c r="H112" s="231" t="str">
        <f t="shared" si="14"/>
        <v/>
      </c>
      <c r="I112" s="228">
        <f t="shared" si="15"/>
        <v>1</v>
      </c>
      <c r="J112" s="228">
        <f t="shared" si="16"/>
        <v>68</v>
      </c>
      <c r="Q112" s="504">
        <f t="shared" ca="1" si="19"/>
        <v>43956</v>
      </c>
    </row>
    <row r="113" spans="2:17">
      <c r="B113" s="226" t="str">
        <f t="shared" si="10"/>
        <v/>
      </c>
      <c r="C113" s="227">
        <f t="shared" si="17"/>
        <v>43912</v>
      </c>
      <c r="D113" s="228">
        <f t="shared" si="18"/>
        <v>7</v>
      </c>
      <c r="E113" s="229">
        <f t="shared" si="11"/>
        <v>43912</v>
      </c>
      <c r="F113" s="228">
        <f t="shared" si="12"/>
        <v>0</v>
      </c>
      <c r="G113" s="230" t="str">
        <f t="shared" si="13"/>
        <v/>
      </c>
      <c r="H113" s="231" t="str">
        <f t="shared" si="14"/>
        <v/>
      </c>
      <c r="I113" s="228">
        <f t="shared" si="15"/>
        <v>1</v>
      </c>
      <c r="J113" s="228">
        <f t="shared" si="16"/>
        <v>68</v>
      </c>
      <c r="Q113" s="504">
        <f t="shared" ca="1" si="19"/>
        <v>43957</v>
      </c>
    </row>
    <row r="114" spans="2:17">
      <c r="B114" s="226" t="str">
        <f t="shared" si="10"/>
        <v/>
      </c>
      <c r="C114" s="227">
        <f t="shared" si="17"/>
        <v>43913</v>
      </c>
      <c r="D114" s="228">
        <f t="shared" si="18"/>
        <v>1</v>
      </c>
      <c r="E114" s="229">
        <f t="shared" si="11"/>
        <v>43913</v>
      </c>
      <c r="F114" s="228">
        <f t="shared" si="12"/>
        <v>0</v>
      </c>
      <c r="G114" s="230" t="str">
        <f t="shared" si="13"/>
        <v/>
      </c>
      <c r="H114" s="231" t="str">
        <f t="shared" si="14"/>
        <v/>
      </c>
      <c r="I114" s="228">
        <f t="shared" si="15"/>
        <v>0</v>
      </c>
      <c r="J114" s="228">
        <f t="shared" si="16"/>
        <v>69</v>
      </c>
      <c r="Q114" s="504">
        <f t="shared" ca="1" si="19"/>
        <v>43958</v>
      </c>
    </row>
    <row r="115" spans="2:17">
      <c r="B115" s="226" t="str">
        <f t="shared" si="10"/>
        <v/>
      </c>
      <c r="C115" s="227">
        <f t="shared" si="17"/>
        <v>43914</v>
      </c>
      <c r="D115" s="228">
        <f t="shared" si="18"/>
        <v>2</v>
      </c>
      <c r="E115" s="229">
        <f t="shared" si="11"/>
        <v>43914</v>
      </c>
      <c r="F115" s="228">
        <f t="shared" si="12"/>
        <v>0</v>
      </c>
      <c r="G115" s="230" t="str">
        <f t="shared" si="13"/>
        <v/>
      </c>
      <c r="H115" s="231" t="str">
        <f t="shared" si="14"/>
        <v/>
      </c>
      <c r="I115" s="228">
        <f t="shared" si="15"/>
        <v>0</v>
      </c>
      <c r="J115" s="228">
        <f t="shared" si="16"/>
        <v>70</v>
      </c>
      <c r="Q115" s="504">
        <f t="shared" ca="1" si="19"/>
        <v>43959</v>
      </c>
    </row>
    <row r="116" spans="2:17">
      <c r="B116" s="226" t="str">
        <f t="shared" si="10"/>
        <v/>
      </c>
      <c r="C116" s="227">
        <f t="shared" si="17"/>
        <v>43915</v>
      </c>
      <c r="D116" s="228">
        <f t="shared" si="18"/>
        <v>3</v>
      </c>
      <c r="E116" s="229">
        <f t="shared" si="11"/>
        <v>43915</v>
      </c>
      <c r="F116" s="228">
        <f t="shared" si="12"/>
        <v>0</v>
      </c>
      <c r="G116" s="230" t="str">
        <f t="shared" si="13"/>
        <v/>
      </c>
      <c r="H116" s="231" t="str">
        <f t="shared" si="14"/>
        <v/>
      </c>
      <c r="I116" s="228">
        <f t="shared" si="15"/>
        <v>0</v>
      </c>
      <c r="J116" s="228">
        <f t="shared" si="16"/>
        <v>71</v>
      </c>
      <c r="Q116" s="504">
        <f t="shared" ca="1" si="19"/>
        <v>43960</v>
      </c>
    </row>
    <row r="117" spans="2:17">
      <c r="B117" s="226" t="str">
        <f t="shared" si="10"/>
        <v/>
      </c>
      <c r="C117" s="227">
        <f t="shared" si="17"/>
        <v>43916</v>
      </c>
      <c r="D117" s="228">
        <f t="shared" si="18"/>
        <v>4</v>
      </c>
      <c r="E117" s="229">
        <f t="shared" si="11"/>
        <v>43916</v>
      </c>
      <c r="F117" s="228">
        <f t="shared" si="12"/>
        <v>0</v>
      </c>
      <c r="G117" s="230" t="str">
        <f t="shared" si="13"/>
        <v/>
      </c>
      <c r="H117" s="231" t="str">
        <f t="shared" si="14"/>
        <v/>
      </c>
      <c r="I117" s="228">
        <f t="shared" si="15"/>
        <v>0</v>
      </c>
      <c r="J117" s="228">
        <f t="shared" si="16"/>
        <v>72</v>
      </c>
      <c r="Q117" s="504">
        <f t="shared" ca="1" si="19"/>
        <v>43961</v>
      </c>
    </row>
    <row r="118" spans="2:17">
      <c r="B118" s="226" t="str">
        <f t="shared" si="10"/>
        <v/>
      </c>
      <c r="C118" s="227">
        <f t="shared" si="17"/>
        <v>43917</v>
      </c>
      <c r="D118" s="228">
        <f t="shared" si="18"/>
        <v>5</v>
      </c>
      <c r="E118" s="229">
        <f t="shared" si="11"/>
        <v>43917</v>
      </c>
      <c r="F118" s="228">
        <f t="shared" si="12"/>
        <v>0</v>
      </c>
      <c r="G118" s="230" t="str">
        <f t="shared" si="13"/>
        <v/>
      </c>
      <c r="H118" s="231" t="str">
        <f t="shared" si="14"/>
        <v/>
      </c>
      <c r="I118" s="228">
        <f t="shared" si="15"/>
        <v>0</v>
      </c>
      <c r="J118" s="228">
        <f t="shared" si="16"/>
        <v>73</v>
      </c>
      <c r="Q118" s="504">
        <f t="shared" ca="1" si="19"/>
        <v>43962</v>
      </c>
    </row>
    <row r="119" spans="2:17">
      <c r="B119" s="226" t="str">
        <f t="shared" si="10"/>
        <v/>
      </c>
      <c r="C119" s="227">
        <f t="shared" si="17"/>
        <v>43918</v>
      </c>
      <c r="D119" s="228">
        <f t="shared" si="18"/>
        <v>6</v>
      </c>
      <c r="E119" s="229">
        <f t="shared" si="11"/>
        <v>43918</v>
      </c>
      <c r="F119" s="228">
        <f t="shared" si="12"/>
        <v>0</v>
      </c>
      <c r="G119" s="230" t="str">
        <f t="shared" si="13"/>
        <v/>
      </c>
      <c r="H119" s="231" t="str">
        <f t="shared" si="14"/>
        <v/>
      </c>
      <c r="I119" s="228">
        <f t="shared" si="15"/>
        <v>1</v>
      </c>
      <c r="J119" s="228">
        <f t="shared" si="16"/>
        <v>73</v>
      </c>
      <c r="Q119" s="504">
        <f t="shared" ca="1" si="19"/>
        <v>43963</v>
      </c>
    </row>
    <row r="120" spans="2:17">
      <c r="B120" s="226" t="str">
        <f t="shared" si="10"/>
        <v/>
      </c>
      <c r="C120" s="227">
        <f t="shared" si="17"/>
        <v>43919</v>
      </c>
      <c r="D120" s="228">
        <f t="shared" si="18"/>
        <v>7</v>
      </c>
      <c r="E120" s="229">
        <f t="shared" si="11"/>
        <v>43919</v>
      </c>
      <c r="F120" s="228">
        <f t="shared" si="12"/>
        <v>0</v>
      </c>
      <c r="G120" s="230" t="str">
        <f t="shared" si="13"/>
        <v/>
      </c>
      <c r="H120" s="231" t="str">
        <f t="shared" si="14"/>
        <v/>
      </c>
      <c r="I120" s="228">
        <f t="shared" si="15"/>
        <v>1</v>
      </c>
      <c r="J120" s="228">
        <f t="shared" si="16"/>
        <v>73</v>
      </c>
      <c r="Q120" s="504">
        <f t="shared" ca="1" si="19"/>
        <v>43964</v>
      </c>
    </row>
    <row r="121" spans="2:17">
      <c r="B121" s="226" t="str">
        <f t="shared" si="10"/>
        <v/>
      </c>
      <c r="C121" s="227">
        <f t="shared" si="17"/>
        <v>43920</v>
      </c>
      <c r="D121" s="228">
        <f t="shared" si="18"/>
        <v>1</v>
      </c>
      <c r="E121" s="229">
        <f t="shared" si="11"/>
        <v>43920</v>
      </c>
      <c r="F121" s="228">
        <f t="shared" si="12"/>
        <v>0</v>
      </c>
      <c r="G121" s="230" t="str">
        <f t="shared" si="13"/>
        <v/>
      </c>
      <c r="H121" s="231" t="str">
        <f t="shared" si="14"/>
        <v/>
      </c>
      <c r="I121" s="228">
        <f t="shared" si="15"/>
        <v>0</v>
      </c>
      <c r="J121" s="228">
        <f t="shared" si="16"/>
        <v>74</v>
      </c>
      <c r="Q121" s="504">
        <f t="shared" ca="1" si="19"/>
        <v>43965</v>
      </c>
    </row>
    <row r="122" spans="2:17">
      <c r="B122" s="226" t="str">
        <f t="shared" si="10"/>
        <v/>
      </c>
      <c r="C122" s="227">
        <f t="shared" si="17"/>
        <v>43921</v>
      </c>
      <c r="D122" s="228">
        <f t="shared" si="18"/>
        <v>2</v>
      </c>
      <c r="E122" s="229">
        <f t="shared" si="11"/>
        <v>43921</v>
      </c>
      <c r="F122" s="228">
        <f t="shared" si="12"/>
        <v>0</v>
      </c>
      <c r="G122" s="230" t="str">
        <f t="shared" si="13"/>
        <v/>
      </c>
      <c r="H122" s="231" t="str">
        <f t="shared" si="14"/>
        <v/>
      </c>
      <c r="I122" s="228">
        <f t="shared" si="15"/>
        <v>0</v>
      </c>
      <c r="J122" s="228">
        <f t="shared" si="16"/>
        <v>75</v>
      </c>
      <c r="Q122" s="504">
        <f t="shared" ca="1" si="19"/>
        <v>43966</v>
      </c>
    </row>
    <row r="123" spans="2:17">
      <c r="B123" s="226" t="str">
        <f t="shared" si="10"/>
        <v/>
      </c>
      <c r="C123" s="227">
        <f t="shared" si="17"/>
        <v>43922</v>
      </c>
      <c r="D123" s="228">
        <f t="shared" si="18"/>
        <v>3</v>
      </c>
      <c r="E123" s="229">
        <f t="shared" si="11"/>
        <v>43922</v>
      </c>
      <c r="F123" s="228">
        <f t="shared" si="12"/>
        <v>0</v>
      </c>
      <c r="G123" s="230" t="str">
        <f t="shared" si="13"/>
        <v/>
      </c>
      <c r="H123" s="231" t="str">
        <f t="shared" si="14"/>
        <v/>
      </c>
      <c r="I123" s="228">
        <f t="shared" si="15"/>
        <v>0</v>
      </c>
      <c r="J123" s="228">
        <f t="shared" si="16"/>
        <v>76</v>
      </c>
      <c r="Q123" s="504">
        <f t="shared" ca="1" si="19"/>
        <v>43967</v>
      </c>
    </row>
    <row r="124" spans="2:17">
      <c r="B124" s="226" t="str">
        <f t="shared" si="10"/>
        <v/>
      </c>
      <c r="C124" s="227">
        <f t="shared" si="17"/>
        <v>43923</v>
      </c>
      <c r="D124" s="228">
        <f t="shared" si="18"/>
        <v>4</v>
      </c>
      <c r="E124" s="229">
        <f t="shared" si="11"/>
        <v>43923</v>
      </c>
      <c r="F124" s="228">
        <f t="shared" si="12"/>
        <v>0</v>
      </c>
      <c r="G124" s="230" t="str">
        <f t="shared" si="13"/>
        <v/>
      </c>
      <c r="H124" s="231" t="str">
        <f t="shared" si="14"/>
        <v/>
      </c>
      <c r="I124" s="228">
        <f t="shared" si="15"/>
        <v>0</v>
      </c>
      <c r="J124" s="228">
        <f t="shared" si="16"/>
        <v>77</v>
      </c>
      <c r="Q124" s="504">
        <f t="shared" ca="1" si="19"/>
        <v>43968</v>
      </c>
    </row>
    <row r="125" spans="2:17">
      <c r="B125" s="226" t="str">
        <f t="shared" si="10"/>
        <v/>
      </c>
      <c r="C125" s="227">
        <f t="shared" si="17"/>
        <v>43924</v>
      </c>
      <c r="D125" s="228">
        <f t="shared" si="18"/>
        <v>5</v>
      </c>
      <c r="E125" s="229">
        <f t="shared" si="11"/>
        <v>43924</v>
      </c>
      <c r="F125" s="228">
        <f t="shared" si="12"/>
        <v>0</v>
      </c>
      <c r="G125" s="230" t="str">
        <f t="shared" si="13"/>
        <v/>
      </c>
      <c r="H125" s="231" t="str">
        <f t="shared" si="14"/>
        <v/>
      </c>
      <c r="I125" s="228">
        <f t="shared" si="15"/>
        <v>0</v>
      </c>
      <c r="J125" s="228">
        <f t="shared" si="16"/>
        <v>78</v>
      </c>
      <c r="Q125" s="504">
        <f t="shared" ca="1" si="19"/>
        <v>43969</v>
      </c>
    </row>
    <row r="126" spans="2:17">
      <c r="B126" s="226" t="str">
        <f t="shared" si="10"/>
        <v/>
      </c>
      <c r="C126" s="227">
        <f t="shared" si="17"/>
        <v>43925</v>
      </c>
      <c r="D126" s="228">
        <f t="shared" si="18"/>
        <v>6</v>
      </c>
      <c r="E126" s="229">
        <f t="shared" si="11"/>
        <v>43925</v>
      </c>
      <c r="F126" s="228">
        <f t="shared" si="12"/>
        <v>0</v>
      </c>
      <c r="G126" s="230" t="str">
        <f t="shared" si="13"/>
        <v/>
      </c>
      <c r="H126" s="231" t="str">
        <f t="shared" si="14"/>
        <v/>
      </c>
      <c r="I126" s="228">
        <f t="shared" si="15"/>
        <v>1</v>
      </c>
      <c r="J126" s="228">
        <f t="shared" si="16"/>
        <v>78</v>
      </c>
      <c r="Q126" s="504">
        <f t="shared" ca="1" si="19"/>
        <v>43970</v>
      </c>
    </row>
    <row r="127" spans="2:17">
      <c r="B127" s="226" t="str">
        <f t="shared" si="10"/>
        <v/>
      </c>
      <c r="C127" s="227">
        <f t="shared" si="17"/>
        <v>43926</v>
      </c>
      <c r="D127" s="228">
        <f t="shared" si="18"/>
        <v>7</v>
      </c>
      <c r="E127" s="229">
        <f t="shared" si="11"/>
        <v>43926</v>
      </c>
      <c r="F127" s="228">
        <f t="shared" si="12"/>
        <v>25</v>
      </c>
      <c r="G127" s="230">
        <f t="shared" si="13"/>
        <v>43926</v>
      </c>
      <c r="H127" s="231" t="str">
        <f t="shared" si="14"/>
        <v>Palmesøndag</v>
      </c>
      <c r="I127" s="228">
        <f t="shared" si="15"/>
        <v>1</v>
      </c>
      <c r="J127" s="228">
        <f t="shared" si="16"/>
        <v>78</v>
      </c>
      <c r="Q127" s="504">
        <f t="shared" ca="1" si="19"/>
        <v>43971</v>
      </c>
    </row>
    <row r="128" spans="2:17">
      <c r="B128" s="226" t="str">
        <f t="shared" si="10"/>
        <v/>
      </c>
      <c r="C128" s="227">
        <f t="shared" si="17"/>
        <v>43927</v>
      </c>
      <c r="D128" s="228">
        <f t="shared" si="18"/>
        <v>1</v>
      </c>
      <c r="E128" s="229">
        <f t="shared" si="11"/>
        <v>43927</v>
      </c>
      <c r="F128" s="228">
        <f t="shared" si="12"/>
        <v>0</v>
      </c>
      <c r="G128" s="230" t="str">
        <f t="shared" si="13"/>
        <v/>
      </c>
      <c r="H128" s="231" t="str">
        <f t="shared" si="14"/>
        <v/>
      </c>
      <c r="I128" s="228">
        <f t="shared" si="15"/>
        <v>0</v>
      </c>
      <c r="J128" s="228">
        <f t="shared" si="16"/>
        <v>79</v>
      </c>
      <c r="Q128" s="504">
        <f t="shared" ca="1" si="19"/>
        <v>43972</v>
      </c>
    </row>
    <row r="129" spans="2:17">
      <c r="B129" s="226" t="str">
        <f t="shared" si="10"/>
        <v/>
      </c>
      <c r="C129" s="227">
        <f t="shared" si="17"/>
        <v>43928</v>
      </c>
      <c r="D129" s="228">
        <f t="shared" si="18"/>
        <v>2</v>
      </c>
      <c r="E129" s="229">
        <f t="shared" si="11"/>
        <v>43928</v>
      </c>
      <c r="F129" s="228">
        <f t="shared" si="12"/>
        <v>0</v>
      </c>
      <c r="G129" s="230" t="str">
        <f t="shared" si="13"/>
        <v/>
      </c>
      <c r="H129" s="231" t="str">
        <f t="shared" si="14"/>
        <v/>
      </c>
      <c r="I129" s="228">
        <f t="shared" si="15"/>
        <v>0</v>
      </c>
      <c r="J129" s="228">
        <f t="shared" si="16"/>
        <v>80</v>
      </c>
      <c r="Q129" s="504">
        <f t="shared" ca="1" si="19"/>
        <v>43973</v>
      </c>
    </row>
    <row r="130" spans="2:17">
      <c r="B130" s="226" t="str">
        <f t="shared" si="10"/>
        <v/>
      </c>
      <c r="C130" s="227">
        <f t="shared" si="17"/>
        <v>43929</v>
      </c>
      <c r="D130" s="228">
        <f t="shared" si="18"/>
        <v>3</v>
      </c>
      <c r="E130" s="229">
        <f t="shared" si="11"/>
        <v>43929</v>
      </c>
      <c r="F130" s="228">
        <f t="shared" si="12"/>
        <v>0</v>
      </c>
      <c r="G130" s="230" t="str">
        <f t="shared" si="13"/>
        <v/>
      </c>
      <c r="H130" s="231" t="str">
        <f t="shared" si="14"/>
        <v/>
      </c>
      <c r="I130" s="228">
        <f t="shared" si="15"/>
        <v>0</v>
      </c>
      <c r="J130" s="228">
        <f t="shared" si="16"/>
        <v>81</v>
      </c>
      <c r="Q130" s="504">
        <f t="shared" ca="1" si="19"/>
        <v>43974</v>
      </c>
    </row>
    <row r="131" spans="2:17">
      <c r="B131" s="226" t="str">
        <f t="shared" si="10"/>
        <v/>
      </c>
      <c r="C131" s="227">
        <f t="shared" si="17"/>
        <v>43930</v>
      </c>
      <c r="D131" s="228">
        <f t="shared" si="18"/>
        <v>4</v>
      </c>
      <c r="E131" s="229">
        <f t="shared" si="11"/>
        <v>43930</v>
      </c>
      <c r="F131" s="228">
        <f t="shared" si="12"/>
        <v>26</v>
      </c>
      <c r="G131" s="230">
        <f t="shared" si="13"/>
        <v>43930</v>
      </c>
      <c r="H131" s="231" t="str">
        <f t="shared" si="14"/>
        <v>Skjærtorsdag</v>
      </c>
      <c r="I131" s="228">
        <f t="shared" si="15"/>
        <v>1</v>
      </c>
      <c r="J131" s="228">
        <f t="shared" si="16"/>
        <v>81</v>
      </c>
      <c r="Q131" s="504">
        <f t="shared" ca="1" si="19"/>
        <v>43975</v>
      </c>
    </row>
    <row r="132" spans="2:17">
      <c r="B132" s="226" t="str">
        <f t="shared" si="10"/>
        <v/>
      </c>
      <c r="C132" s="227">
        <f t="shared" si="17"/>
        <v>43931</v>
      </c>
      <c r="D132" s="228">
        <f t="shared" si="18"/>
        <v>5</v>
      </c>
      <c r="E132" s="229">
        <f t="shared" si="11"/>
        <v>43931</v>
      </c>
      <c r="F132" s="228">
        <f t="shared" si="12"/>
        <v>27</v>
      </c>
      <c r="G132" s="230">
        <f t="shared" si="13"/>
        <v>43931</v>
      </c>
      <c r="H132" s="231" t="str">
        <f t="shared" si="14"/>
        <v>Langfredag</v>
      </c>
      <c r="I132" s="228">
        <f t="shared" si="15"/>
        <v>1</v>
      </c>
      <c r="J132" s="228">
        <f t="shared" si="16"/>
        <v>81</v>
      </c>
      <c r="Q132" s="504">
        <f t="shared" ca="1" si="19"/>
        <v>43976</v>
      </c>
    </row>
    <row r="133" spans="2:17">
      <c r="B133" s="226" t="str">
        <f t="shared" si="10"/>
        <v/>
      </c>
      <c r="C133" s="227">
        <f t="shared" si="17"/>
        <v>43932</v>
      </c>
      <c r="D133" s="228">
        <f t="shared" si="18"/>
        <v>6</v>
      </c>
      <c r="E133" s="229">
        <f t="shared" si="11"/>
        <v>43932</v>
      </c>
      <c r="F133" s="228">
        <f t="shared" si="12"/>
        <v>28</v>
      </c>
      <c r="G133" s="230">
        <f t="shared" si="13"/>
        <v>43932</v>
      </c>
      <c r="H133" s="231" t="str">
        <f t="shared" si="14"/>
        <v>Påskeaften</v>
      </c>
      <c r="I133" s="228">
        <f t="shared" si="15"/>
        <v>1</v>
      </c>
      <c r="J133" s="228">
        <f t="shared" si="16"/>
        <v>81</v>
      </c>
      <c r="Q133" s="504">
        <f t="shared" ca="1" si="19"/>
        <v>43977</v>
      </c>
    </row>
    <row r="134" spans="2:17">
      <c r="B134" s="226" t="str">
        <f t="shared" si="10"/>
        <v/>
      </c>
      <c r="C134" s="227">
        <f t="shared" si="17"/>
        <v>43933</v>
      </c>
      <c r="D134" s="228">
        <f t="shared" si="18"/>
        <v>7</v>
      </c>
      <c r="E134" s="229">
        <f t="shared" si="11"/>
        <v>43933</v>
      </c>
      <c r="F134" s="228">
        <f t="shared" si="12"/>
        <v>29</v>
      </c>
      <c r="G134" s="230">
        <f t="shared" si="13"/>
        <v>43933</v>
      </c>
      <c r="H134" s="231" t="str">
        <f t="shared" si="14"/>
        <v>1. Påskedag</v>
      </c>
      <c r="I134" s="228">
        <f t="shared" si="15"/>
        <v>1</v>
      </c>
      <c r="J134" s="228">
        <f t="shared" si="16"/>
        <v>81</v>
      </c>
      <c r="Q134" s="504">
        <f t="shared" ca="1" si="19"/>
        <v>43978</v>
      </c>
    </row>
    <row r="135" spans="2:17">
      <c r="B135" s="226" t="str">
        <f t="shared" si="10"/>
        <v/>
      </c>
      <c r="C135" s="227">
        <f t="shared" si="17"/>
        <v>43934</v>
      </c>
      <c r="D135" s="228">
        <f t="shared" si="18"/>
        <v>1</v>
      </c>
      <c r="E135" s="229">
        <f t="shared" si="11"/>
        <v>43934</v>
      </c>
      <c r="F135" s="228">
        <f t="shared" si="12"/>
        <v>30</v>
      </c>
      <c r="G135" s="230">
        <f t="shared" si="13"/>
        <v>43934</v>
      </c>
      <c r="H135" s="231" t="str">
        <f t="shared" si="14"/>
        <v>2. Påskedag</v>
      </c>
      <c r="I135" s="228">
        <f t="shared" si="15"/>
        <v>1</v>
      </c>
      <c r="J135" s="228">
        <f t="shared" si="16"/>
        <v>81</v>
      </c>
      <c r="Q135" s="504">
        <f t="shared" ca="1" si="19"/>
        <v>43979</v>
      </c>
    </row>
    <row r="136" spans="2:17">
      <c r="B136" s="226" t="str">
        <f t="shared" si="10"/>
        <v/>
      </c>
      <c r="C136" s="227">
        <f t="shared" si="17"/>
        <v>43935</v>
      </c>
      <c r="D136" s="228">
        <f t="shared" si="18"/>
        <v>2</v>
      </c>
      <c r="E136" s="229">
        <f t="shared" si="11"/>
        <v>43935</v>
      </c>
      <c r="F136" s="228">
        <f t="shared" si="12"/>
        <v>0</v>
      </c>
      <c r="G136" s="230" t="str">
        <f t="shared" si="13"/>
        <v/>
      </c>
      <c r="H136" s="231" t="str">
        <f t="shared" si="14"/>
        <v/>
      </c>
      <c r="I136" s="228">
        <f t="shared" si="15"/>
        <v>0</v>
      </c>
      <c r="J136" s="228">
        <f t="shared" si="16"/>
        <v>82</v>
      </c>
      <c r="Q136" s="504">
        <f t="shared" ca="1" si="19"/>
        <v>43980</v>
      </c>
    </row>
    <row r="137" spans="2:17">
      <c r="B137" s="226" t="str">
        <f t="shared" si="10"/>
        <v/>
      </c>
      <c r="C137" s="227">
        <f t="shared" si="17"/>
        <v>43936</v>
      </c>
      <c r="D137" s="228">
        <f t="shared" si="18"/>
        <v>3</v>
      </c>
      <c r="E137" s="229">
        <f t="shared" si="11"/>
        <v>43936</v>
      </c>
      <c r="F137" s="228">
        <f t="shared" si="12"/>
        <v>0</v>
      </c>
      <c r="G137" s="230" t="str">
        <f t="shared" si="13"/>
        <v/>
      </c>
      <c r="H137" s="231" t="str">
        <f t="shared" si="14"/>
        <v/>
      </c>
      <c r="I137" s="228">
        <f t="shared" si="15"/>
        <v>0</v>
      </c>
      <c r="J137" s="228">
        <f t="shared" si="16"/>
        <v>83</v>
      </c>
      <c r="Q137" s="504">
        <f t="shared" ca="1" si="19"/>
        <v>43981</v>
      </c>
    </row>
    <row r="138" spans="2:17">
      <c r="B138" s="226" t="str">
        <f t="shared" si="10"/>
        <v/>
      </c>
      <c r="C138" s="227">
        <f t="shared" si="17"/>
        <v>43937</v>
      </c>
      <c r="D138" s="228">
        <f t="shared" si="18"/>
        <v>4</v>
      </c>
      <c r="E138" s="229">
        <f t="shared" si="11"/>
        <v>43937</v>
      </c>
      <c r="F138" s="228">
        <f t="shared" si="12"/>
        <v>0</v>
      </c>
      <c r="G138" s="230" t="str">
        <f t="shared" si="13"/>
        <v/>
      </c>
      <c r="H138" s="231" t="str">
        <f t="shared" si="14"/>
        <v/>
      </c>
      <c r="I138" s="228">
        <f t="shared" si="15"/>
        <v>0</v>
      </c>
      <c r="J138" s="228">
        <f t="shared" si="16"/>
        <v>84</v>
      </c>
      <c r="Q138" s="504">
        <f t="shared" ca="1" si="19"/>
        <v>43982</v>
      </c>
    </row>
    <row r="139" spans="2:17">
      <c r="B139" s="226" t="str">
        <f t="shared" si="10"/>
        <v/>
      </c>
      <c r="C139" s="227">
        <f t="shared" si="17"/>
        <v>43938</v>
      </c>
      <c r="D139" s="228">
        <f t="shared" si="18"/>
        <v>5</v>
      </c>
      <c r="E139" s="229">
        <f t="shared" si="11"/>
        <v>43938</v>
      </c>
      <c r="F139" s="228">
        <f t="shared" si="12"/>
        <v>0</v>
      </c>
      <c r="G139" s="230" t="str">
        <f t="shared" si="13"/>
        <v/>
      </c>
      <c r="H139" s="231" t="str">
        <f t="shared" si="14"/>
        <v/>
      </c>
      <c r="I139" s="228">
        <f t="shared" si="15"/>
        <v>0</v>
      </c>
      <c r="J139" s="228">
        <f t="shared" si="16"/>
        <v>85</v>
      </c>
      <c r="Q139" s="504">
        <f t="shared" ca="1" si="19"/>
        <v>43983</v>
      </c>
    </row>
    <row r="140" spans="2:17">
      <c r="B140" s="226" t="str">
        <f t="shared" si="10"/>
        <v/>
      </c>
      <c r="C140" s="227">
        <f t="shared" si="17"/>
        <v>43939</v>
      </c>
      <c r="D140" s="228">
        <f t="shared" si="18"/>
        <v>6</v>
      </c>
      <c r="E140" s="229">
        <f t="shared" si="11"/>
        <v>43939</v>
      </c>
      <c r="F140" s="228">
        <f t="shared" si="12"/>
        <v>0</v>
      </c>
      <c r="G140" s="230" t="str">
        <f t="shared" si="13"/>
        <v/>
      </c>
      <c r="H140" s="231" t="str">
        <f t="shared" si="14"/>
        <v/>
      </c>
      <c r="I140" s="228">
        <f t="shared" si="15"/>
        <v>1</v>
      </c>
      <c r="J140" s="228">
        <f t="shared" si="16"/>
        <v>85</v>
      </c>
      <c r="Q140" s="504">
        <f t="shared" ca="1" si="19"/>
        <v>43984</v>
      </c>
    </row>
    <row r="141" spans="2:17">
      <c r="B141" s="226" t="str">
        <f t="shared" si="10"/>
        <v/>
      </c>
      <c r="C141" s="227">
        <f t="shared" si="17"/>
        <v>43940</v>
      </c>
      <c r="D141" s="228">
        <f t="shared" si="18"/>
        <v>7</v>
      </c>
      <c r="E141" s="229">
        <f t="shared" si="11"/>
        <v>43940</v>
      </c>
      <c r="F141" s="228">
        <f t="shared" si="12"/>
        <v>0</v>
      </c>
      <c r="G141" s="230" t="str">
        <f t="shared" si="13"/>
        <v/>
      </c>
      <c r="H141" s="231" t="str">
        <f t="shared" si="14"/>
        <v/>
      </c>
      <c r="I141" s="228">
        <f t="shared" si="15"/>
        <v>1</v>
      </c>
      <c r="J141" s="228">
        <f t="shared" si="16"/>
        <v>85</v>
      </c>
      <c r="Q141" s="504">
        <f t="shared" ca="1" si="19"/>
        <v>43985</v>
      </c>
    </row>
    <row r="142" spans="2:17">
      <c r="B142" s="226" t="str">
        <f t="shared" ref="B142:B205" si="20">IF(J142=$C$4,"Til","")</f>
        <v/>
      </c>
      <c r="C142" s="227">
        <f t="shared" si="17"/>
        <v>43941</v>
      </c>
      <c r="D142" s="228">
        <f t="shared" si="18"/>
        <v>1</v>
      </c>
      <c r="E142" s="229">
        <f t="shared" ref="E142:E205" si="21">C142</f>
        <v>43941</v>
      </c>
      <c r="F142" s="228">
        <f t="shared" ref="F142:F205" si="22">IF(C142="","",IFERROR(MATCH(C142,INDEX(caHellig,,2),0),0))</f>
        <v>0</v>
      </c>
      <c r="G142" s="230" t="str">
        <f t="shared" ref="G142:G205" si="23">IF(C142="","",IF(F142&gt;0,INDEX(caHellig,F142,2),""))</f>
        <v/>
      </c>
      <c r="H142" s="231" t="str">
        <f t="shared" ref="H142:H205" si="24">IF(C142="","",IF(F142&gt;0,INDEX(caHellig,F142,1),""))</f>
        <v/>
      </c>
      <c r="I142" s="228">
        <f t="shared" ref="I142:I205" si="25">IF(C142="","",IF(OR(D142&gt;5,F142,0),1,0))</f>
        <v>0</v>
      </c>
      <c r="J142" s="228">
        <f t="shared" ref="J142:J205" si="26">IF(C142="","",IF(I142=0,J141+1,J141))</f>
        <v>86</v>
      </c>
      <c r="Q142" s="504">
        <f t="shared" ca="1" si="19"/>
        <v>43986</v>
      </c>
    </row>
    <row r="143" spans="2:17">
      <c r="B143" s="226" t="str">
        <f t="shared" si="20"/>
        <v/>
      </c>
      <c r="C143" s="227">
        <f t="shared" ref="C143:C206" si="27">C142+1</f>
        <v>43942</v>
      </c>
      <c r="D143" s="228">
        <f t="shared" ref="D143:D206" si="28">IF(C143&lt;&gt;"",WEEKDAY(C143,2),"")</f>
        <v>2</v>
      </c>
      <c r="E143" s="229">
        <f t="shared" si="21"/>
        <v>43942</v>
      </c>
      <c r="F143" s="228">
        <f t="shared" si="22"/>
        <v>0</v>
      </c>
      <c r="G143" s="230" t="str">
        <f t="shared" si="23"/>
        <v/>
      </c>
      <c r="H143" s="231" t="str">
        <f t="shared" si="24"/>
        <v/>
      </c>
      <c r="I143" s="228">
        <f t="shared" si="25"/>
        <v>0</v>
      </c>
      <c r="J143" s="228">
        <f t="shared" si="26"/>
        <v>87</v>
      </c>
      <c r="Q143" s="504">
        <f t="shared" ref="Q143:Q206" ca="1" si="29">Q142+1</f>
        <v>43987</v>
      </c>
    </row>
    <row r="144" spans="2:17">
      <c r="B144" s="226" t="str">
        <f t="shared" si="20"/>
        <v/>
      </c>
      <c r="C144" s="227">
        <f t="shared" si="27"/>
        <v>43943</v>
      </c>
      <c r="D144" s="228">
        <f t="shared" si="28"/>
        <v>3</v>
      </c>
      <c r="E144" s="229">
        <f t="shared" si="21"/>
        <v>43943</v>
      </c>
      <c r="F144" s="228">
        <f t="shared" si="22"/>
        <v>0</v>
      </c>
      <c r="G144" s="230" t="str">
        <f t="shared" si="23"/>
        <v/>
      </c>
      <c r="H144" s="231" t="str">
        <f t="shared" si="24"/>
        <v/>
      </c>
      <c r="I144" s="228">
        <f t="shared" si="25"/>
        <v>0</v>
      </c>
      <c r="J144" s="228">
        <f t="shared" si="26"/>
        <v>88</v>
      </c>
      <c r="Q144" s="504">
        <f t="shared" ca="1" si="29"/>
        <v>43988</v>
      </c>
    </row>
    <row r="145" spans="2:17">
      <c r="B145" s="226" t="str">
        <f t="shared" si="20"/>
        <v/>
      </c>
      <c r="C145" s="227">
        <f t="shared" si="27"/>
        <v>43944</v>
      </c>
      <c r="D145" s="228">
        <f t="shared" si="28"/>
        <v>4</v>
      </c>
      <c r="E145" s="229">
        <f t="shared" si="21"/>
        <v>43944</v>
      </c>
      <c r="F145" s="228">
        <f t="shared" si="22"/>
        <v>0</v>
      </c>
      <c r="G145" s="230" t="str">
        <f t="shared" si="23"/>
        <v/>
      </c>
      <c r="H145" s="231" t="str">
        <f t="shared" si="24"/>
        <v/>
      </c>
      <c r="I145" s="228">
        <f t="shared" si="25"/>
        <v>0</v>
      </c>
      <c r="J145" s="228">
        <f t="shared" si="26"/>
        <v>89</v>
      </c>
      <c r="Q145" s="504">
        <f t="shared" ca="1" si="29"/>
        <v>43989</v>
      </c>
    </row>
    <row r="146" spans="2:17">
      <c r="B146" s="226" t="str">
        <f t="shared" si="20"/>
        <v/>
      </c>
      <c r="C146" s="227">
        <f t="shared" si="27"/>
        <v>43945</v>
      </c>
      <c r="D146" s="228">
        <f t="shared" si="28"/>
        <v>5</v>
      </c>
      <c r="E146" s="229">
        <f t="shared" si="21"/>
        <v>43945</v>
      </c>
      <c r="F146" s="228">
        <f t="shared" si="22"/>
        <v>0</v>
      </c>
      <c r="G146" s="230" t="str">
        <f t="shared" si="23"/>
        <v/>
      </c>
      <c r="H146" s="231" t="str">
        <f t="shared" si="24"/>
        <v/>
      </c>
      <c r="I146" s="228">
        <f t="shared" si="25"/>
        <v>0</v>
      </c>
      <c r="J146" s="228">
        <f t="shared" si="26"/>
        <v>90</v>
      </c>
      <c r="Q146" s="504">
        <f t="shared" ca="1" si="29"/>
        <v>43990</v>
      </c>
    </row>
    <row r="147" spans="2:17">
      <c r="B147" s="226" t="str">
        <f t="shared" si="20"/>
        <v/>
      </c>
      <c r="C147" s="227">
        <f t="shared" si="27"/>
        <v>43946</v>
      </c>
      <c r="D147" s="228">
        <f t="shared" si="28"/>
        <v>6</v>
      </c>
      <c r="E147" s="229">
        <f t="shared" si="21"/>
        <v>43946</v>
      </c>
      <c r="F147" s="228">
        <f t="shared" si="22"/>
        <v>0</v>
      </c>
      <c r="G147" s="230" t="str">
        <f t="shared" si="23"/>
        <v/>
      </c>
      <c r="H147" s="231" t="str">
        <f t="shared" si="24"/>
        <v/>
      </c>
      <c r="I147" s="228">
        <f t="shared" si="25"/>
        <v>1</v>
      </c>
      <c r="J147" s="228">
        <f t="shared" si="26"/>
        <v>90</v>
      </c>
      <c r="Q147" s="504">
        <f t="shared" ca="1" si="29"/>
        <v>43991</v>
      </c>
    </row>
    <row r="148" spans="2:17">
      <c r="B148" s="226" t="str">
        <f t="shared" si="20"/>
        <v/>
      </c>
      <c r="C148" s="227">
        <f t="shared" si="27"/>
        <v>43947</v>
      </c>
      <c r="D148" s="228">
        <f t="shared" si="28"/>
        <v>7</v>
      </c>
      <c r="E148" s="229">
        <f t="shared" si="21"/>
        <v>43947</v>
      </c>
      <c r="F148" s="228">
        <f t="shared" si="22"/>
        <v>0</v>
      </c>
      <c r="G148" s="230" t="str">
        <f t="shared" si="23"/>
        <v/>
      </c>
      <c r="H148" s="231" t="str">
        <f t="shared" si="24"/>
        <v/>
      </c>
      <c r="I148" s="228">
        <f t="shared" si="25"/>
        <v>1</v>
      </c>
      <c r="J148" s="228">
        <f t="shared" si="26"/>
        <v>90</v>
      </c>
      <c r="Q148" s="504">
        <f t="shared" ca="1" si="29"/>
        <v>43992</v>
      </c>
    </row>
    <row r="149" spans="2:17">
      <c r="B149" s="226" t="str">
        <f t="shared" si="20"/>
        <v/>
      </c>
      <c r="C149" s="227">
        <f t="shared" si="27"/>
        <v>43948</v>
      </c>
      <c r="D149" s="228">
        <f t="shared" si="28"/>
        <v>1</v>
      </c>
      <c r="E149" s="229">
        <f t="shared" si="21"/>
        <v>43948</v>
      </c>
      <c r="F149" s="228">
        <f t="shared" si="22"/>
        <v>0</v>
      </c>
      <c r="G149" s="230" t="str">
        <f t="shared" si="23"/>
        <v/>
      </c>
      <c r="H149" s="231" t="str">
        <f t="shared" si="24"/>
        <v/>
      </c>
      <c r="I149" s="228">
        <f t="shared" si="25"/>
        <v>0</v>
      </c>
      <c r="J149" s="228">
        <f t="shared" si="26"/>
        <v>91</v>
      </c>
      <c r="Q149" s="504">
        <f t="shared" ca="1" si="29"/>
        <v>43993</v>
      </c>
    </row>
    <row r="150" spans="2:17">
      <c r="B150" s="226" t="str">
        <f t="shared" si="20"/>
        <v/>
      </c>
      <c r="C150" s="227">
        <f t="shared" si="27"/>
        <v>43949</v>
      </c>
      <c r="D150" s="228">
        <f t="shared" si="28"/>
        <v>2</v>
      </c>
      <c r="E150" s="229">
        <f t="shared" si="21"/>
        <v>43949</v>
      </c>
      <c r="F150" s="228">
        <f t="shared" si="22"/>
        <v>0</v>
      </c>
      <c r="G150" s="230" t="str">
        <f t="shared" si="23"/>
        <v/>
      </c>
      <c r="H150" s="231" t="str">
        <f t="shared" si="24"/>
        <v/>
      </c>
      <c r="I150" s="228">
        <f t="shared" si="25"/>
        <v>0</v>
      </c>
      <c r="J150" s="228">
        <f t="shared" si="26"/>
        <v>92</v>
      </c>
      <c r="Q150" s="504">
        <f t="shared" ca="1" si="29"/>
        <v>43994</v>
      </c>
    </row>
    <row r="151" spans="2:17">
      <c r="B151" s="226" t="str">
        <f t="shared" si="20"/>
        <v/>
      </c>
      <c r="C151" s="227">
        <f t="shared" si="27"/>
        <v>43950</v>
      </c>
      <c r="D151" s="228">
        <f t="shared" si="28"/>
        <v>3</v>
      </c>
      <c r="E151" s="229">
        <f t="shared" si="21"/>
        <v>43950</v>
      </c>
      <c r="F151" s="228">
        <f t="shared" si="22"/>
        <v>0</v>
      </c>
      <c r="G151" s="230" t="str">
        <f t="shared" si="23"/>
        <v/>
      </c>
      <c r="H151" s="231" t="str">
        <f t="shared" si="24"/>
        <v/>
      </c>
      <c r="I151" s="228">
        <f t="shared" si="25"/>
        <v>0</v>
      </c>
      <c r="J151" s="228">
        <f t="shared" si="26"/>
        <v>93</v>
      </c>
      <c r="Q151" s="504">
        <f t="shared" ca="1" si="29"/>
        <v>43995</v>
      </c>
    </row>
    <row r="152" spans="2:17">
      <c r="B152" s="226" t="str">
        <f t="shared" si="20"/>
        <v/>
      </c>
      <c r="C152" s="227">
        <f t="shared" si="27"/>
        <v>43951</v>
      </c>
      <c r="D152" s="228">
        <f t="shared" si="28"/>
        <v>4</v>
      </c>
      <c r="E152" s="229">
        <f t="shared" si="21"/>
        <v>43951</v>
      </c>
      <c r="F152" s="228">
        <f t="shared" si="22"/>
        <v>0</v>
      </c>
      <c r="G152" s="230" t="str">
        <f t="shared" si="23"/>
        <v/>
      </c>
      <c r="H152" s="231" t="str">
        <f t="shared" si="24"/>
        <v/>
      </c>
      <c r="I152" s="228">
        <f t="shared" si="25"/>
        <v>0</v>
      </c>
      <c r="J152" s="228">
        <f t="shared" si="26"/>
        <v>94</v>
      </c>
      <c r="Q152" s="504">
        <f t="shared" ca="1" si="29"/>
        <v>43996</v>
      </c>
    </row>
    <row r="153" spans="2:17">
      <c r="B153" s="226" t="str">
        <f t="shared" si="20"/>
        <v/>
      </c>
      <c r="C153" s="227">
        <f t="shared" si="27"/>
        <v>43952</v>
      </c>
      <c r="D153" s="228">
        <f t="shared" si="28"/>
        <v>5</v>
      </c>
      <c r="E153" s="229">
        <f t="shared" si="21"/>
        <v>43952</v>
      </c>
      <c r="F153" s="228">
        <f t="shared" si="22"/>
        <v>0</v>
      </c>
      <c r="G153" s="230" t="str">
        <f t="shared" si="23"/>
        <v/>
      </c>
      <c r="H153" s="231" t="str">
        <f t="shared" si="24"/>
        <v/>
      </c>
      <c r="I153" s="228">
        <f t="shared" si="25"/>
        <v>0</v>
      </c>
      <c r="J153" s="228">
        <f t="shared" si="26"/>
        <v>95</v>
      </c>
      <c r="Q153" s="504">
        <f t="shared" ca="1" si="29"/>
        <v>43997</v>
      </c>
    </row>
    <row r="154" spans="2:17">
      <c r="B154" s="226" t="str">
        <f t="shared" si="20"/>
        <v/>
      </c>
      <c r="C154" s="227">
        <f t="shared" si="27"/>
        <v>43953</v>
      </c>
      <c r="D154" s="228">
        <f t="shared" si="28"/>
        <v>6</v>
      </c>
      <c r="E154" s="229">
        <f t="shared" si="21"/>
        <v>43953</v>
      </c>
      <c r="F154" s="228">
        <f t="shared" si="22"/>
        <v>0</v>
      </c>
      <c r="G154" s="230" t="str">
        <f t="shared" si="23"/>
        <v/>
      </c>
      <c r="H154" s="231" t="str">
        <f t="shared" si="24"/>
        <v/>
      </c>
      <c r="I154" s="228">
        <f t="shared" si="25"/>
        <v>1</v>
      </c>
      <c r="J154" s="228">
        <f t="shared" si="26"/>
        <v>95</v>
      </c>
      <c r="Q154" s="504">
        <f t="shared" ca="1" si="29"/>
        <v>43998</v>
      </c>
    </row>
    <row r="155" spans="2:17">
      <c r="B155" s="226" t="str">
        <f t="shared" si="20"/>
        <v/>
      </c>
      <c r="C155" s="227">
        <f t="shared" si="27"/>
        <v>43954</v>
      </c>
      <c r="D155" s="228">
        <f t="shared" si="28"/>
        <v>7</v>
      </c>
      <c r="E155" s="229">
        <f t="shared" si="21"/>
        <v>43954</v>
      </c>
      <c r="F155" s="228">
        <f t="shared" si="22"/>
        <v>0</v>
      </c>
      <c r="G155" s="230" t="str">
        <f t="shared" si="23"/>
        <v/>
      </c>
      <c r="H155" s="231" t="str">
        <f t="shared" si="24"/>
        <v/>
      </c>
      <c r="I155" s="228">
        <f t="shared" si="25"/>
        <v>1</v>
      </c>
      <c r="J155" s="228">
        <f t="shared" si="26"/>
        <v>95</v>
      </c>
      <c r="Q155" s="504">
        <f t="shared" ca="1" si="29"/>
        <v>43999</v>
      </c>
    </row>
    <row r="156" spans="2:17">
      <c r="B156" s="226" t="str">
        <f t="shared" si="20"/>
        <v/>
      </c>
      <c r="C156" s="227">
        <f t="shared" si="27"/>
        <v>43955</v>
      </c>
      <c r="D156" s="228">
        <f t="shared" si="28"/>
        <v>1</v>
      </c>
      <c r="E156" s="229">
        <f t="shared" si="21"/>
        <v>43955</v>
      </c>
      <c r="F156" s="228">
        <f t="shared" si="22"/>
        <v>0</v>
      </c>
      <c r="G156" s="230" t="str">
        <f t="shared" si="23"/>
        <v/>
      </c>
      <c r="H156" s="231" t="str">
        <f t="shared" si="24"/>
        <v/>
      </c>
      <c r="I156" s="228">
        <f t="shared" si="25"/>
        <v>0</v>
      </c>
      <c r="J156" s="228">
        <f t="shared" si="26"/>
        <v>96</v>
      </c>
      <c r="Q156" s="504">
        <f t="shared" ca="1" si="29"/>
        <v>44000</v>
      </c>
    </row>
    <row r="157" spans="2:17">
      <c r="B157" s="226" t="str">
        <f t="shared" si="20"/>
        <v/>
      </c>
      <c r="C157" s="227">
        <f t="shared" si="27"/>
        <v>43956</v>
      </c>
      <c r="D157" s="228">
        <f t="shared" si="28"/>
        <v>2</v>
      </c>
      <c r="E157" s="229">
        <f t="shared" si="21"/>
        <v>43956</v>
      </c>
      <c r="F157" s="228">
        <f t="shared" si="22"/>
        <v>0</v>
      </c>
      <c r="G157" s="230" t="str">
        <f t="shared" si="23"/>
        <v/>
      </c>
      <c r="H157" s="231" t="str">
        <f t="shared" si="24"/>
        <v/>
      </c>
      <c r="I157" s="228">
        <f t="shared" si="25"/>
        <v>0</v>
      </c>
      <c r="J157" s="228">
        <f t="shared" si="26"/>
        <v>97</v>
      </c>
      <c r="Q157" s="504">
        <f t="shared" ca="1" si="29"/>
        <v>44001</v>
      </c>
    </row>
    <row r="158" spans="2:17">
      <c r="B158" s="226" t="str">
        <f t="shared" si="20"/>
        <v/>
      </c>
      <c r="C158" s="227">
        <f t="shared" si="27"/>
        <v>43957</v>
      </c>
      <c r="D158" s="228">
        <f t="shared" si="28"/>
        <v>3</v>
      </c>
      <c r="E158" s="229">
        <f t="shared" si="21"/>
        <v>43957</v>
      </c>
      <c r="F158" s="228">
        <f t="shared" si="22"/>
        <v>0</v>
      </c>
      <c r="G158" s="230" t="str">
        <f t="shared" si="23"/>
        <v/>
      </c>
      <c r="H158" s="231" t="str">
        <f t="shared" si="24"/>
        <v/>
      </c>
      <c r="I158" s="228">
        <f t="shared" si="25"/>
        <v>0</v>
      </c>
      <c r="J158" s="228">
        <f t="shared" si="26"/>
        <v>98</v>
      </c>
      <c r="Q158" s="504">
        <f t="shared" ca="1" si="29"/>
        <v>44002</v>
      </c>
    </row>
    <row r="159" spans="2:17">
      <c r="B159" s="226" t="str">
        <f t="shared" si="20"/>
        <v/>
      </c>
      <c r="C159" s="227">
        <f t="shared" si="27"/>
        <v>43958</v>
      </c>
      <c r="D159" s="228">
        <f t="shared" si="28"/>
        <v>4</v>
      </c>
      <c r="E159" s="229">
        <f t="shared" si="21"/>
        <v>43958</v>
      </c>
      <c r="F159" s="228">
        <f t="shared" si="22"/>
        <v>0</v>
      </c>
      <c r="G159" s="230" t="str">
        <f t="shared" si="23"/>
        <v/>
      </c>
      <c r="H159" s="231" t="str">
        <f t="shared" si="24"/>
        <v/>
      </c>
      <c r="I159" s="228">
        <f t="shared" si="25"/>
        <v>0</v>
      </c>
      <c r="J159" s="228">
        <f t="shared" si="26"/>
        <v>99</v>
      </c>
      <c r="Q159" s="504">
        <f t="shared" ca="1" si="29"/>
        <v>44003</v>
      </c>
    </row>
    <row r="160" spans="2:17">
      <c r="B160" s="226" t="str">
        <f t="shared" si="20"/>
        <v/>
      </c>
      <c r="C160" s="227">
        <f t="shared" si="27"/>
        <v>43959</v>
      </c>
      <c r="D160" s="228">
        <f t="shared" si="28"/>
        <v>5</v>
      </c>
      <c r="E160" s="229">
        <f t="shared" si="21"/>
        <v>43959</v>
      </c>
      <c r="F160" s="228">
        <f t="shared" si="22"/>
        <v>0</v>
      </c>
      <c r="G160" s="230" t="str">
        <f t="shared" si="23"/>
        <v/>
      </c>
      <c r="H160" s="231" t="str">
        <f t="shared" si="24"/>
        <v/>
      </c>
      <c r="I160" s="228">
        <f t="shared" si="25"/>
        <v>0</v>
      </c>
      <c r="J160" s="228">
        <f t="shared" si="26"/>
        <v>100</v>
      </c>
      <c r="Q160" s="504">
        <f t="shared" ca="1" si="29"/>
        <v>44004</v>
      </c>
    </row>
    <row r="161" spans="2:17">
      <c r="B161" s="226" t="str">
        <f t="shared" si="20"/>
        <v/>
      </c>
      <c r="C161" s="227">
        <f t="shared" si="27"/>
        <v>43960</v>
      </c>
      <c r="D161" s="228">
        <f t="shared" si="28"/>
        <v>6</v>
      </c>
      <c r="E161" s="229">
        <f t="shared" si="21"/>
        <v>43960</v>
      </c>
      <c r="F161" s="228">
        <f t="shared" si="22"/>
        <v>0</v>
      </c>
      <c r="G161" s="230" t="str">
        <f t="shared" si="23"/>
        <v/>
      </c>
      <c r="H161" s="231" t="str">
        <f t="shared" si="24"/>
        <v/>
      </c>
      <c r="I161" s="228">
        <f t="shared" si="25"/>
        <v>1</v>
      </c>
      <c r="J161" s="228">
        <f t="shared" si="26"/>
        <v>100</v>
      </c>
      <c r="Q161" s="504">
        <f t="shared" ca="1" si="29"/>
        <v>44005</v>
      </c>
    </row>
    <row r="162" spans="2:17">
      <c r="B162" s="226" t="str">
        <f t="shared" si="20"/>
        <v/>
      </c>
      <c r="C162" s="227">
        <f t="shared" si="27"/>
        <v>43961</v>
      </c>
      <c r="D162" s="228">
        <f t="shared" si="28"/>
        <v>7</v>
      </c>
      <c r="E162" s="229">
        <f t="shared" si="21"/>
        <v>43961</v>
      </c>
      <c r="F162" s="228">
        <f t="shared" si="22"/>
        <v>0</v>
      </c>
      <c r="G162" s="230" t="str">
        <f t="shared" si="23"/>
        <v/>
      </c>
      <c r="H162" s="231" t="str">
        <f t="shared" si="24"/>
        <v/>
      </c>
      <c r="I162" s="228">
        <f t="shared" si="25"/>
        <v>1</v>
      </c>
      <c r="J162" s="228">
        <f t="shared" si="26"/>
        <v>100</v>
      </c>
      <c r="Q162" s="504">
        <f t="shared" ca="1" si="29"/>
        <v>44006</v>
      </c>
    </row>
    <row r="163" spans="2:17">
      <c r="B163" s="226" t="str">
        <f t="shared" si="20"/>
        <v/>
      </c>
      <c r="C163" s="227">
        <f t="shared" si="27"/>
        <v>43962</v>
      </c>
      <c r="D163" s="228">
        <f t="shared" si="28"/>
        <v>1</v>
      </c>
      <c r="E163" s="229">
        <f t="shared" si="21"/>
        <v>43962</v>
      </c>
      <c r="F163" s="228">
        <f t="shared" si="22"/>
        <v>0</v>
      </c>
      <c r="G163" s="230" t="str">
        <f t="shared" si="23"/>
        <v/>
      </c>
      <c r="H163" s="231" t="str">
        <f t="shared" si="24"/>
        <v/>
      </c>
      <c r="I163" s="228">
        <f t="shared" si="25"/>
        <v>0</v>
      </c>
      <c r="J163" s="228">
        <f t="shared" si="26"/>
        <v>101</v>
      </c>
      <c r="Q163" s="504">
        <f t="shared" ca="1" si="29"/>
        <v>44007</v>
      </c>
    </row>
    <row r="164" spans="2:17">
      <c r="B164" s="226" t="str">
        <f t="shared" si="20"/>
        <v/>
      </c>
      <c r="C164" s="227">
        <f t="shared" si="27"/>
        <v>43963</v>
      </c>
      <c r="D164" s="228">
        <f t="shared" si="28"/>
        <v>2</v>
      </c>
      <c r="E164" s="229">
        <f t="shared" si="21"/>
        <v>43963</v>
      </c>
      <c r="F164" s="228">
        <f t="shared" si="22"/>
        <v>0</v>
      </c>
      <c r="G164" s="230" t="str">
        <f t="shared" si="23"/>
        <v/>
      </c>
      <c r="H164" s="231" t="str">
        <f t="shared" si="24"/>
        <v/>
      </c>
      <c r="I164" s="228">
        <f t="shared" si="25"/>
        <v>0</v>
      </c>
      <c r="J164" s="228">
        <f t="shared" si="26"/>
        <v>102</v>
      </c>
      <c r="Q164" s="504">
        <f t="shared" ca="1" si="29"/>
        <v>44008</v>
      </c>
    </row>
    <row r="165" spans="2:17">
      <c r="B165" s="226" t="str">
        <f t="shared" si="20"/>
        <v/>
      </c>
      <c r="C165" s="227">
        <f t="shared" si="27"/>
        <v>43964</v>
      </c>
      <c r="D165" s="228">
        <f t="shared" si="28"/>
        <v>3</v>
      </c>
      <c r="E165" s="229">
        <f t="shared" si="21"/>
        <v>43964</v>
      </c>
      <c r="F165" s="228">
        <f t="shared" si="22"/>
        <v>0</v>
      </c>
      <c r="G165" s="230" t="str">
        <f t="shared" si="23"/>
        <v/>
      </c>
      <c r="H165" s="231" t="str">
        <f t="shared" si="24"/>
        <v/>
      </c>
      <c r="I165" s="228">
        <f t="shared" si="25"/>
        <v>0</v>
      </c>
      <c r="J165" s="228">
        <f t="shared" si="26"/>
        <v>103</v>
      </c>
      <c r="Q165" s="504">
        <f t="shared" ca="1" si="29"/>
        <v>44009</v>
      </c>
    </row>
    <row r="166" spans="2:17">
      <c r="B166" s="226" t="str">
        <f t="shared" si="20"/>
        <v/>
      </c>
      <c r="C166" s="227">
        <f t="shared" si="27"/>
        <v>43965</v>
      </c>
      <c r="D166" s="228">
        <f t="shared" si="28"/>
        <v>4</v>
      </c>
      <c r="E166" s="229">
        <f t="shared" si="21"/>
        <v>43965</v>
      </c>
      <c r="F166" s="228">
        <f t="shared" si="22"/>
        <v>0</v>
      </c>
      <c r="G166" s="230" t="str">
        <f t="shared" si="23"/>
        <v/>
      </c>
      <c r="H166" s="231" t="str">
        <f t="shared" si="24"/>
        <v/>
      </c>
      <c r="I166" s="228">
        <f t="shared" si="25"/>
        <v>0</v>
      </c>
      <c r="J166" s="228">
        <f t="shared" si="26"/>
        <v>104</v>
      </c>
      <c r="Q166" s="504">
        <f t="shared" ca="1" si="29"/>
        <v>44010</v>
      </c>
    </row>
    <row r="167" spans="2:17">
      <c r="B167" s="226" t="str">
        <f t="shared" si="20"/>
        <v/>
      </c>
      <c r="C167" s="227">
        <f t="shared" si="27"/>
        <v>43966</v>
      </c>
      <c r="D167" s="228">
        <f t="shared" si="28"/>
        <v>5</v>
      </c>
      <c r="E167" s="229">
        <f t="shared" si="21"/>
        <v>43966</v>
      </c>
      <c r="F167" s="228">
        <f t="shared" si="22"/>
        <v>0</v>
      </c>
      <c r="G167" s="230" t="str">
        <f t="shared" si="23"/>
        <v/>
      </c>
      <c r="H167" s="231" t="str">
        <f t="shared" si="24"/>
        <v/>
      </c>
      <c r="I167" s="228">
        <f t="shared" si="25"/>
        <v>0</v>
      </c>
      <c r="J167" s="228">
        <f t="shared" si="26"/>
        <v>105</v>
      </c>
      <c r="Q167" s="504">
        <f t="shared" ca="1" si="29"/>
        <v>44011</v>
      </c>
    </row>
    <row r="168" spans="2:17">
      <c r="B168" s="226" t="str">
        <f t="shared" si="20"/>
        <v/>
      </c>
      <c r="C168" s="227">
        <f t="shared" si="27"/>
        <v>43967</v>
      </c>
      <c r="D168" s="228">
        <f t="shared" si="28"/>
        <v>6</v>
      </c>
      <c r="E168" s="229">
        <f t="shared" si="21"/>
        <v>43967</v>
      </c>
      <c r="F168" s="228">
        <f t="shared" si="22"/>
        <v>0</v>
      </c>
      <c r="G168" s="230" t="str">
        <f t="shared" si="23"/>
        <v/>
      </c>
      <c r="H168" s="231" t="str">
        <f t="shared" si="24"/>
        <v/>
      </c>
      <c r="I168" s="228">
        <f t="shared" si="25"/>
        <v>1</v>
      </c>
      <c r="J168" s="228">
        <f t="shared" si="26"/>
        <v>105</v>
      </c>
      <c r="Q168" s="504">
        <f t="shared" ca="1" si="29"/>
        <v>44012</v>
      </c>
    </row>
    <row r="169" spans="2:17">
      <c r="B169" s="226" t="str">
        <f t="shared" si="20"/>
        <v/>
      </c>
      <c r="C169" s="227">
        <f t="shared" si="27"/>
        <v>43968</v>
      </c>
      <c r="D169" s="228">
        <f t="shared" si="28"/>
        <v>7</v>
      </c>
      <c r="E169" s="229">
        <f t="shared" si="21"/>
        <v>43968</v>
      </c>
      <c r="F169" s="228">
        <f t="shared" si="22"/>
        <v>0</v>
      </c>
      <c r="G169" s="230" t="str">
        <f t="shared" si="23"/>
        <v/>
      </c>
      <c r="H169" s="231" t="str">
        <f t="shared" si="24"/>
        <v/>
      </c>
      <c r="I169" s="228">
        <f t="shared" si="25"/>
        <v>1</v>
      </c>
      <c r="J169" s="228">
        <f t="shared" si="26"/>
        <v>105</v>
      </c>
      <c r="Q169" s="504">
        <f t="shared" ca="1" si="29"/>
        <v>44013</v>
      </c>
    </row>
    <row r="170" spans="2:17">
      <c r="B170" s="226" t="str">
        <f t="shared" si="20"/>
        <v/>
      </c>
      <c r="C170" s="227">
        <f t="shared" si="27"/>
        <v>43969</v>
      </c>
      <c r="D170" s="228">
        <f t="shared" si="28"/>
        <v>1</v>
      </c>
      <c r="E170" s="229">
        <f t="shared" si="21"/>
        <v>43969</v>
      </c>
      <c r="F170" s="228">
        <f t="shared" si="22"/>
        <v>0</v>
      </c>
      <c r="G170" s="230" t="str">
        <f t="shared" si="23"/>
        <v/>
      </c>
      <c r="H170" s="231" t="str">
        <f t="shared" si="24"/>
        <v/>
      </c>
      <c r="I170" s="228">
        <f t="shared" si="25"/>
        <v>0</v>
      </c>
      <c r="J170" s="228">
        <f t="shared" si="26"/>
        <v>106</v>
      </c>
      <c r="Q170" s="504">
        <f t="shared" ca="1" si="29"/>
        <v>44014</v>
      </c>
    </row>
    <row r="171" spans="2:17">
      <c r="B171" s="226" t="str">
        <f t="shared" si="20"/>
        <v/>
      </c>
      <c r="C171" s="227">
        <f t="shared" si="27"/>
        <v>43970</v>
      </c>
      <c r="D171" s="228">
        <f t="shared" si="28"/>
        <v>2</v>
      </c>
      <c r="E171" s="229">
        <f t="shared" si="21"/>
        <v>43970</v>
      </c>
      <c r="F171" s="228">
        <f t="shared" si="22"/>
        <v>0</v>
      </c>
      <c r="G171" s="230" t="str">
        <f t="shared" si="23"/>
        <v/>
      </c>
      <c r="H171" s="231" t="str">
        <f t="shared" si="24"/>
        <v/>
      </c>
      <c r="I171" s="228">
        <f t="shared" si="25"/>
        <v>0</v>
      </c>
      <c r="J171" s="228">
        <f t="shared" si="26"/>
        <v>107</v>
      </c>
      <c r="Q171" s="504">
        <f t="shared" ca="1" si="29"/>
        <v>44015</v>
      </c>
    </row>
    <row r="172" spans="2:17">
      <c r="B172" s="226" t="str">
        <f t="shared" si="20"/>
        <v/>
      </c>
      <c r="C172" s="227">
        <f t="shared" si="27"/>
        <v>43971</v>
      </c>
      <c r="D172" s="228">
        <f t="shared" si="28"/>
        <v>3</v>
      </c>
      <c r="E172" s="229">
        <f t="shared" si="21"/>
        <v>43971</v>
      </c>
      <c r="F172" s="228">
        <f t="shared" si="22"/>
        <v>0</v>
      </c>
      <c r="G172" s="230" t="str">
        <f t="shared" si="23"/>
        <v/>
      </c>
      <c r="H172" s="231" t="str">
        <f t="shared" si="24"/>
        <v/>
      </c>
      <c r="I172" s="228">
        <f t="shared" si="25"/>
        <v>0</v>
      </c>
      <c r="J172" s="228">
        <f t="shared" si="26"/>
        <v>108</v>
      </c>
      <c r="Q172" s="504">
        <f t="shared" ca="1" si="29"/>
        <v>44016</v>
      </c>
    </row>
    <row r="173" spans="2:17">
      <c r="B173" s="226" t="str">
        <f t="shared" si="20"/>
        <v/>
      </c>
      <c r="C173" s="227">
        <f t="shared" si="27"/>
        <v>43972</v>
      </c>
      <c r="D173" s="228">
        <f t="shared" si="28"/>
        <v>4</v>
      </c>
      <c r="E173" s="229">
        <f t="shared" si="21"/>
        <v>43972</v>
      </c>
      <c r="F173" s="228">
        <f t="shared" si="22"/>
        <v>31</v>
      </c>
      <c r="G173" s="230">
        <f t="shared" si="23"/>
        <v>43972</v>
      </c>
      <c r="H173" s="231" t="str">
        <f t="shared" si="24"/>
        <v>Kristi himmelfartsdag</v>
      </c>
      <c r="I173" s="228">
        <f t="shared" si="25"/>
        <v>1</v>
      </c>
      <c r="J173" s="228">
        <f t="shared" si="26"/>
        <v>108</v>
      </c>
      <c r="Q173" s="504">
        <f t="shared" ca="1" si="29"/>
        <v>44017</v>
      </c>
    </row>
    <row r="174" spans="2:17">
      <c r="B174" s="226" t="str">
        <f t="shared" si="20"/>
        <v/>
      </c>
      <c r="C174" s="227">
        <f t="shared" si="27"/>
        <v>43973</v>
      </c>
      <c r="D174" s="228">
        <f t="shared" si="28"/>
        <v>5</v>
      </c>
      <c r="E174" s="229">
        <f t="shared" si="21"/>
        <v>43973</v>
      </c>
      <c r="F174" s="228">
        <f t="shared" si="22"/>
        <v>0</v>
      </c>
      <c r="G174" s="230" t="str">
        <f t="shared" si="23"/>
        <v/>
      </c>
      <c r="H174" s="231" t="str">
        <f t="shared" si="24"/>
        <v/>
      </c>
      <c r="I174" s="228">
        <f t="shared" si="25"/>
        <v>0</v>
      </c>
      <c r="J174" s="228">
        <f t="shared" si="26"/>
        <v>109</v>
      </c>
      <c r="Q174" s="504">
        <f t="shared" ca="1" si="29"/>
        <v>44018</v>
      </c>
    </row>
    <row r="175" spans="2:17">
      <c r="B175" s="226" t="str">
        <f t="shared" si="20"/>
        <v/>
      </c>
      <c r="C175" s="227">
        <f t="shared" si="27"/>
        <v>43974</v>
      </c>
      <c r="D175" s="228">
        <f t="shared" si="28"/>
        <v>6</v>
      </c>
      <c r="E175" s="229">
        <f t="shared" si="21"/>
        <v>43974</v>
      </c>
      <c r="F175" s="228">
        <f t="shared" si="22"/>
        <v>0</v>
      </c>
      <c r="G175" s="230" t="str">
        <f t="shared" si="23"/>
        <v/>
      </c>
      <c r="H175" s="231" t="str">
        <f t="shared" si="24"/>
        <v/>
      </c>
      <c r="I175" s="228">
        <f t="shared" si="25"/>
        <v>1</v>
      </c>
      <c r="J175" s="228">
        <f t="shared" si="26"/>
        <v>109</v>
      </c>
      <c r="Q175" s="504">
        <f t="shared" ca="1" si="29"/>
        <v>44019</v>
      </c>
    </row>
    <row r="176" spans="2:17">
      <c r="B176" s="226" t="str">
        <f t="shared" si="20"/>
        <v/>
      </c>
      <c r="C176" s="227">
        <f t="shared" si="27"/>
        <v>43975</v>
      </c>
      <c r="D176" s="228">
        <f t="shared" si="28"/>
        <v>7</v>
      </c>
      <c r="E176" s="229">
        <f t="shared" si="21"/>
        <v>43975</v>
      </c>
      <c r="F176" s="228">
        <f t="shared" si="22"/>
        <v>0</v>
      </c>
      <c r="G176" s="230" t="str">
        <f t="shared" si="23"/>
        <v/>
      </c>
      <c r="H176" s="231" t="str">
        <f t="shared" si="24"/>
        <v/>
      </c>
      <c r="I176" s="228">
        <f t="shared" si="25"/>
        <v>1</v>
      </c>
      <c r="J176" s="228">
        <f t="shared" si="26"/>
        <v>109</v>
      </c>
      <c r="Q176" s="504">
        <f t="shared" ca="1" si="29"/>
        <v>44020</v>
      </c>
    </row>
    <row r="177" spans="2:17">
      <c r="B177" s="226" t="str">
        <f t="shared" si="20"/>
        <v/>
      </c>
      <c r="C177" s="227">
        <f t="shared" si="27"/>
        <v>43976</v>
      </c>
      <c r="D177" s="228">
        <f t="shared" si="28"/>
        <v>1</v>
      </c>
      <c r="E177" s="229">
        <f t="shared" si="21"/>
        <v>43976</v>
      </c>
      <c r="F177" s="228">
        <f t="shared" si="22"/>
        <v>0</v>
      </c>
      <c r="G177" s="230" t="str">
        <f t="shared" si="23"/>
        <v/>
      </c>
      <c r="H177" s="231" t="str">
        <f t="shared" si="24"/>
        <v/>
      </c>
      <c r="I177" s="228">
        <f t="shared" si="25"/>
        <v>0</v>
      </c>
      <c r="J177" s="228">
        <f t="shared" si="26"/>
        <v>110</v>
      </c>
      <c r="Q177" s="504">
        <f t="shared" ca="1" si="29"/>
        <v>44021</v>
      </c>
    </row>
    <row r="178" spans="2:17">
      <c r="B178" s="226" t="str">
        <f t="shared" si="20"/>
        <v/>
      </c>
      <c r="C178" s="227">
        <f t="shared" si="27"/>
        <v>43977</v>
      </c>
      <c r="D178" s="228">
        <f t="shared" si="28"/>
        <v>2</v>
      </c>
      <c r="E178" s="229">
        <f t="shared" si="21"/>
        <v>43977</v>
      </c>
      <c r="F178" s="228">
        <f t="shared" si="22"/>
        <v>0</v>
      </c>
      <c r="G178" s="230" t="str">
        <f t="shared" si="23"/>
        <v/>
      </c>
      <c r="H178" s="231" t="str">
        <f t="shared" si="24"/>
        <v/>
      </c>
      <c r="I178" s="228">
        <f t="shared" si="25"/>
        <v>0</v>
      </c>
      <c r="J178" s="228">
        <f t="shared" si="26"/>
        <v>111</v>
      </c>
      <c r="Q178" s="504">
        <f t="shared" ca="1" si="29"/>
        <v>44022</v>
      </c>
    </row>
    <row r="179" spans="2:17">
      <c r="B179" s="226" t="str">
        <f t="shared" si="20"/>
        <v/>
      </c>
      <c r="C179" s="227">
        <f t="shared" si="27"/>
        <v>43978</v>
      </c>
      <c r="D179" s="228">
        <f t="shared" si="28"/>
        <v>3</v>
      </c>
      <c r="E179" s="229">
        <f t="shared" si="21"/>
        <v>43978</v>
      </c>
      <c r="F179" s="228">
        <f t="shared" si="22"/>
        <v>0</v>
      </c>
      <c r="G179" s="230" t="str">
        <f t="shared" si="23"/>
        <v/>
      </c>
      <c r="H179" s="231" t="str">
        <f t="shared" si="24"/>
        <v/>
      </c>
      <c r="I179" s="228">
        <f t="shared" si="25"/>
        <v>0</v>
      </c>
      <c r="J179" s="228">
        <f t="shared" si="26"/>
        <v>112</v>
      </c>
      <c r="Q179" s="504">
        <f t="shared" ca="1" si="29"/>
        <v>44023</v>
      </c>
    </row>
    <row r="180" spans="2:17">
      <c r="B180" s="226" t="str">
        <f t="shared" si="20"/>
        <v/>
      </c>
      <c r="C180" s="227">
        <f t="shared" si="27"/>
        <v>43979</v>
      </c>
      <c r="D180" s="228">
        <f t="shared" si="28"/>
        <v>4</v>
      </c>
      <c r="E180" s="229">
        <f t="shared" si="21"/>
        <v>43979</v>
      </c>
      <c r="F180" s="228">
        <f t="shared" si="22"/>
        <v>0</v>
      </c>
      <c r="G180" s="230" t="str">
        <f t="shared" si="23"/>
        <v/>
      </c>
      <c r="H180" s="231" t="str">
        <f t="shared" si="24"/>
        <v/>
      </c>
      <c r="I180" s="228">
        <f t="shared" si="25"/>
        <v>0</v>
      </c>
      <c r="J180" s="228">
        <f t="shared" si="26"/>
        <v>113</v>
      </c>
      <c r="Q180" s="504">
        <f t="shared" ca="1" si="29"/>
        <v>44024</v>
      </c>
    </row>
    <row r="181" spans="2:17">
      <c r="B181" s="226" t="str">
        <f t="shared" si="20"/>
        <v/>
      </c>
      <c r="C181" s="227">
        <f t="shared" si="27"/>
        <v>43980</v>
      </c>
      <c r="D181" s="228">
        <f t="shared" si="28"/>
        <v>5</v>
      </c>
      <c r="E181" s="229">
        <f t="shared" si="21"/>
        <v>43980</v>
      </c>
      <c r="F181" s="228">
        <f t="shared" si="22"/>
        <v>0</v>
      </c>
      <c r="G181" s="230" t="str">
        <f t="shared" si="23"/>
        <v/>
      </c>
      <c r="H181" s="231" t="str">
        <f t="shared" si="24"/>
        <v/>
      </c>
      <c r="I181" s="228">
        <f t="shared" si="25"/>
        <v>0</v>
      </c>
      <c r="J181" s="228">
        <f t="shared" si="26"/>
        <v>114</v>
      </c>
      <c r="Q181" s="504">
        <f t="shared" ca="1" si="29"/>
        <v>44025</v>
      </c>
    </row>
    <row r="182" spans="2:17">
      <c r="B182" s="226" t="str">
        <f t="shared" si="20"/>
        <v/>
      </c>
      <c r="C182" s="227">
        <f t="shared" si="27"/>
        <v>43981</v>
      </c>
      <c r="D182" s="228">
        <f t="shared" si="28"/>
        <v>6</v>
      </c>
      <c r="E182" s="229">
        <f t="shared" si="21"/>
        <v>43981</v>
      </c>
      <c r="F182" s="228">
        <f t="shared" si="22"/>
        <v>0</v>
      </c>
      <c r="G182" s="230" t="str">
        <f t="shared" si="23"/>
        <v/>
      </c>
      <c r="H182" s="231" t="str">
        <f t="shared" si="24"/>
        <v/>
      </c>
      <c r="I182" s="228">
        <f t="shared" si="25"/>
        <v>1</v>
      </c>
      <c r="J182" s="228">
        <f t="shared" si="26"/>
        <v>114</v>
      </c>
      <c r="Q182" s="504">
        <f t="shared" ca="1" si="29"/>
        <v>44026</v>
      </c>
    </row>
    <row r="183" spans="2:17">
      <c r="B183" s="226" t="str">
        <f t="shared" si="20"/>
        <v/>
      </c>
      <c r="C183" s="227">
        <f t="shared" si="27"/>
        <v>43982</v>
      </c>
      <c r="D183" s="228">
        <f t="shared" si="28"/>
        <v>7</v>
      </c>
      <c r="E183" s="229">
        <f t="shared" si="21"/>
        <v>43982</v>
      </c>
      <c r="F183" s="228">
        <f t="shared" si="22"/>
        <v>32</v>
      </c>
      <c r="G183" s="230">
        <f t="shared" si="23"/>
        <v>43982</v>
      </c>
      <c r="H183" s="231" t="str">
        <f t="shared" si="24"/>
        <v>1. Pinsedag</v>
      </c>
      <c r="I183" s="228">
        <f t="shared" si="25"/>
        <v>1</v>
      </c>
      <c r="J183" s="228">
        <f t="shared" si="26"/>
        <v>114</v>
      </c>
      <c r="Q183" s="504">
        <f t="shared" ca="1" si="29"/>
        <v>44027</v>
      </c>
    </row>
    <row r="184" spans="2:17">
      <c r="B184" s="226" t="str">
        <f t="shared" si="20"/>
        <v/>
      </c>
      <c r="C184" s="227">
        <f t="shared" si="27"/>
        <v>43983</v>
      </c>
      <c r="D184" s="228">
        <f t="shared" si="28"/>
        <v>1</v>
      </c>
      <c r="E184" s="229">
        <f t="shared" si="21"/>
        <v>43983</v>
      </c>
      <c r="F184" s="228">
        <f t="shared" si="22"/>
        <v>33</v>
      </c>
      <c r="G184" s="230">
        <f t="shared" si="23"/>
        <v>43983</v>
      </c>
      <c r="H184" s="231" t="str">
        <f t="shared" si="24"/>
        <v>2. Pinsedag</v>
      </c>
      <c r="I184" s="228">
        <f t="shared" si="25"/>
        <v>1</v>
      </c>
      <c r="J184" s="228">
        <f t="shared" si="26"/>
        <v>114</v>
      </c>
      <c r="Q184" s="504">
        <f t="shared" ca="1" si="29"/>
        <v>44028</v>
      </c>
    </row>
    <row r="185" spans="2:17">
      <c r="B185" s="226" t="str">
        <f t="shared" si="20"/>
        <v/>
      </c>
      <c r="C185" s="227">
        <f t="shared" si="27"/>
        <v>43984</v>
      </c>
      <c r="D185" s="228">
        <f t="shared" si="28"/>
        <v>2</v>
      </c>
      <c r="E185" s="229">
        <f t="shared" si="21"/>
        <v>43984</v>
      </c>
      <c r="F185" s="228">
        <f t="shared" si="22"/>
        <v>0</v>
      </c>
      <c r="G185" s="230" t="str">
        <f t="shared" si="23"/>
        <v/>
      </c>
      <c r="H185" s="231" t="str">
        <f t="shared" si="24"/>
        <v/>
      </c>
      <c r="I185" s="228">
        <f t="shared" si="25"/>
        <v>0</v>
      </c>
      <c r="J185" s="228">
        <f t="shared" si="26"/>
        <v>115</v>
      </c>
      <c r="Q185" s="504">
        <f t="shared" ca="1" si="29"/>
        <v>44029</v>
      </c>
    </row>
    <row r="186" spans="2:17">
      <c r="B186" s="226" t="str">
        <f t="shared" si="20"/>
        <v/>
      </c>
      <c r="C186" s="227">
        <f t="shared" si="27"/>
        <v>43985</v>
      </c>
      <c r="D186" s="228">
        <f t="shared" si="28"/>
        <v>3</v>
      </c>
      <c r="E186" s="229">
        <f t="shared" si="21"/>
        <v>43985</v>
      </c>
      <c r="F186" s="228">
        <f t="shared" si="22"/>
        <v>0</v>
      </c>
      <c r="G186" s="230" t="str">
        <f t="shared" si="23"/>
        <v/>
      </c>
      <c r="H186" s="231" t="str">
        <f t="shared" si="24"/>
        <v/>
      </c>
      <c r="I186" s="228">
        <f t="shared" si="25"/>
        <v>0</v>
      </c>
      <c r="J186" s="228">
        <f t="shared" si="26"/>
        <v>116</v>
      </c>
      <c r="Q186" s="504">
        <f t="shared" ca="1" si="29"/>
        <v>44030</v>
      </c>
    </row>
    <row r="187" spans="2:17">
      <c r="B187" s="226" t="str">
        <f t="shared" si="20"/>
        <v/>
      </c>
      <c r="C187" s="227">
        <f t="shared" si="27"/>
        <v>43986</v>
      </c>
      <c r="D187" s="228">
        <f t="shared" si="28"/>
        <v>4</v>
      </c>
      <c r="E187" s="229">
        <f t="shared" si="21"/>
        <v>43986</v>
      </c>
      <c r="F187" s="228">
        <f t="shared" si="22"/>
        <v>0</v>
      </c>
      <c r="G187" s="230" t="str">
        <f t="shared" si="23"/>
        <v/>
      </c>
      <c r="H187" s="231" t="str">
        <f t="shared" si="24"/>
        <v/>
      </c>
      <c r="I187" s="228">
        <f t="shared" si="25"/>
        <v>0</v>
      </c>
      <c r="J187" s="228">
        <f t="shared" si="26"/>
        <v>117</v>
      </c>
      <c r="Q187" s="504">
        <f t="shared" ca="1" si="29"/>
        <v>44031</v>
      </c>
    </row>
    <row r="188" spans="2:17">
      <c r="B188" s="226" t="str">
        <f t="shared" si="20"/>
        <v/>
      </c>
      <c r="C188" s="227">
        <f t="shared" si="27"/>
        <v>43987</v>
      </c>
      <c r="D188" s="228">
        <f t="shared" si="28"/>
        <v>5</v>
      </c>
      <c r="E188" s="229">
        <f t="shared" si="21"/>
        <v>43987</v>
      </c>
      <c r="F188" s="228">
        <f t="shared" si="22"/>
        <v>0</v>
      </c>
      <c r="G188" s="230" t="str">
        <f t="shared" si="23"/>
        <v/>
      </c>
      <c r="H188" s="231" t="str">
        <f t="shared" si="24"/>
        <v/>
      </c>
      <c r="I188" s="228">
        <f t="shared" si="25"/>
        <v>0</v>
      </c>
      <c r="J188" s="228">
        <f t="shared" si="26"/>
        <v>118</v>
      </c>
      <c r="Q188" s="504">
        <f t="shared" ca="1" si="29"/>
        <v>44032</v>
      </c>
    </row>
    <row r="189" spans="2:17">
      <c r="B189" s="226" t="str">
        <f t="shared" si="20"/>
        <v/>
      </c>
      <c r="C189" s="227">
        <f t="shared" si="27"/>
        <v>43988</v>
      </c>
      <c r="D189" s="228">
        <f t="shared" si="28"/>
        <v>6</v>
      </c>
      <c r="E189" s="229">
        <f t="shared" si="21"/>
        <v>43988</v>
      </c>
      <c r="F189" s="228">
        <f t="shared" si="22"/>
        <v>0</v>
      </c>
      <c r="G189" s="230" t="str">
        <f t="shared" si="23"/>
        <v/>
      </c>
      <c r="H189" s="231" t="str">
        <f t="shared" si="24"/>
        <v/>
      </c>
      <c r="I189" s="228">
        <f t="shared" si="25"/>
        <v>1</v>
      </c>
      <c r="J189" s="228">
        <f t="shared" si="26"/>
        <v>118</v>
      </c>
      <c r="Q189" s="504">
        <f t="shared" ca="1" si="29"/>
        <v>44033</v>
      </c>
    </row>
    <row r="190" spans="2:17">
      <c r="B190" s="226" t="str">
        <f t="shared" si="20"/>
        <v/>
      </c>
      <c r="C190" s="227">
        <f t="shared" si="27"/>
        <v>43989</v>
      </c>
      <c r="D190" s="228">
        <f t="shared" si="28"/>
        <v>7</v>
      </c>
      <c r="E190" s="229">
        <f t="shared" si="21"/>
        <v>43989</v>
      </c>
      <c r="F190" s="228">
        <f t="shared" si="22"/>
        <v>0</v>
      </c>
      <c r="G190" s="230" t="str">
        <f t="shared" si="23"/>
        <v/>
      </c>
      <c r="H190" s="231" t="str">
        <f t="shared" si="24"/>
        <v/>
      </c>
      <c r="I190" s="228">
        <f t="shared" si="25"/>
        <v>1</v>
      </c>
      <c r="J190" s="228">
        <f t="shared" si="26"/>
        <v>118</v>
      </c>
      <c r="Q190" s="504">
        <f t="shared" ca="1" si="29"/>
        <v>44034</v>
      </c>
    </row>
    <row r="191" spans="2:17">
      <c r="B191" s="226" t="str">
        <f t="shared" si="20"/>
        <v/>
      </c>
      <c r="C191" s="227">
        <f t="shared" si="27"/>
        <v>43990</v>
      </c>
      <c r="D191" s="228">
        <f t="shared" si="28"/>
        <v>1</v>
      </c>
      <c r="E191" s="229">
        <f t="shared" si="21"/>
        <v>43990</v>
      </c>
      <c r="F191" s="228">
        <f t="shared" si="22"/>
        <v>0</v>
      </c>
      <c r="G191" s="230" t="str">
        <f t="shared" si="23"/>
        <v/>
      </c>
      <c r="H191" s="231" t="str">
        <f t="shared" si="24"/>
        <v/>
      </c>
      <c r="I191" s="228">
        <f t="shared" si="25"/>
        <v>0</v>
      </c>
      <c r="J191" s="228">
        <f t="shared" si="26"/>
        <v>119</v>
      </c>
      <c r="Q191" s="504">
        <f t="shared" ca="1" si="29"/>
        <v>44035</v>
      </c>
    </row>
    <row r="192" spans="2:17">
      <c r="B192" s="226" t="str">
        <f t="shared" si="20"/>
        <v/>
      </c>
      <c r="C192" s="227">
        <f t="shared" si="27"/>
        <v>43991</v>
      </c>
      <c r="D192" s="228">
        <f t="shared" si="28"/>
        <v>2</v>
      </c>
      <c r="E192" s="229">
        <f t="shared" si="21"/>
        <v>43991</v>
      </c>
      <c r="F192" s="228">
        <f t="shared" si="22"/>
        <v>0</v>
      </c>
      <c r="G192" s="230" t="str">
        <f t="shared" si="23"/>
        <v/>
      </c>
      <c r="H192" s="231" t="str">
        <f t="shared" si="24"/>
        <v/>
      </c>
      <c r="I192" s="228">
        <f t="shared" si="25"/>
        <v>0</v>
      </c>
      <c r="J192" s="228">
        <f t="shared" si="26"/>
        <v>120</v>
      </c>
      <c r="Q192" s="504">
        <f t="shared" ca="1" si="29"/>
        <v>44036</v>
      </c>
    </row>
    <row r="193" spans="2:17">
      <c r="B193" s="226" t="str">
        <f t="shared" si="20"/>
        <v/>
      </c>
      <c r="C193" s="227">
        <f t="shared" si="27"/>
        <v>43992</v>
      </c>
      <c r="D193" s="228">
        <f t="shared" si="28"/>
        <v>3</v>
      </c>
      <c r="E193" s="229">
        <f t="shared" si="21"/>
        <v>43992</v>
      </c>
      <c r="F193" s="228">
        <f t="shared" si="22"/>
        <v>0</v>
      </c>
      <c r="G193" s="230" t="str">
        <f t="shared" si="23"/>
        <v/>
      </c>
      <c r="H193" s="231" t="str">
        <f t="shared" si="24"/>
        <v/>
      </c>
      <c r="I193" s="228">
        <f t="shared" si="25"/>
        <v>0</v>
      </c>
      <c r="J193" s="228">
        <f t="shared" si="26"/>
        <v>121</v>
      </c>
      <c r="Q193" s="504">
        <f t="shared" ca="1" si="29"/>
        <v>44037</v>
      </c>
    </row>
    <row r="194" spans="2:17">
      <c r="B194" s="226" t="str">
        <f t="shared" si="20"/>
        <v/>
      </c>
      <c r="C194" s="227">
        <f t="shared" si="27"/>
        <v>43993</v>
      </c>
      <c r="D194" s="228">
        <f t="shared" si="28"/>
        <v>4</v>
      </c>
      <c r="E194" s="229">
        <f t="shared" si="21"/>
        <v>43993</v>
      </c>
      <c r="F194" s="228">
        <f t="shared" si="22"/>
        <v>0</v>
      </c>
      <c r="G194" s="230" t="str">
        <f t="shared" si="23"/>
        <v/>
      </c>
      <c r="H194" s="231" t="str">
        <f t="shared" si="24"/>
        <v/>
      </c>
      <c r="I194" s="228">
        <f t="shared" si="25"/>
        <v>0</v>
      </c>
      <c r="J194" s="228">
        <f t="shared" si="26"/>
        <v>122</v>
      </c>
      <c r="Q194" s="504">
        <f t="shared" ca="1" si="29"/>
        <v>44038</v>
      </c>
    </row>
    <row r="195" spans="2:17">
      <c r="B195" s="226" t="str">
        <f t="shared" si="20"/>
        <v/>
      </c>
      <c r="C195" s="227">
        <f t="shared" si="27"/>
        <v>43994</v>
      </c>
      <c r="D195" s="228">
        <f t="shared" si="28"/>
        <v>5</v>
      </c>
      <c r="E195" s="229">
        <f t="shared" si="21"/>
        <v>43994</v>
      </c>
      <c r="F195" s="228">
        <f t="shared" si="22"/>
        <v>0</v>
      </c>
      <c r="G195" s="230" t="str">
        <f t="shared" si="23"/>
        <v/>
      </c>
      <c r="H195" s="231" t="str">
        <f t="shared" si="24"/>
        <v/>
      </c>
      <c r="I195" s="228">
        <f t="shared" si="25"/>
        <v>0</v>
      </c>
      <c r="J195" s="228">
        <f t="shared" si="26"/>
        <v>123</v>
      </c>
      <c r="Q195" s="504">
        <f t="shared" ca="1" si="29"/>
        <v>44039</v>
      </c>
    </row>
    <row r="196" spans="2:17">
      <c r="B196" s="226" t="str">
        <f t="shared" si="20"/>
        <v/>
      </c>
      <c r="C196" s="227">
        <f t="shared" si="27"/>
        <v>43995</v>
      </c>
      <c r="D196" s="228">
        <f t="shared" si="28"/>
        <v>6</v>
      </c>
      <c r="E196" s="229">
        <f t="shared" si="21"/>
        <v>43995</v>
      </c>
      <c r="F196" s="228">
        <f t="shared" si="22"/>
        <v>0</v>
      </c>
      <c r="G196" s="230" t="str">
        <f t="shared" si="23"/>
        <v/>
      </c>
      <c r="H196" s="231" t="str">
        <f t="shared" si="24"/>
        <v/>
      </c>
      <c r="I196" s="228">
        <f t="shared" si="25"/>
        <v>1</v>
      </c>
      <c r="J196" s="228">
        <f t="shared" si="26"/>
        <v>123</v>
      </c>
      <c r="Q196" s="504">
        <f t="shared" ca="1" si="29"/>
        <v>44040</v>
      </c>
    </row>
    <row r="197" spans="2:17">
      <c r="B197" s="226" t="str">
        <f t="shared" si="20"/>
        <v/>
      </c>
      <c r="C197" s="227">
        <f t="shared" si="27"/>
        <v>43996</v>
      </c>
      <c r="D197" s="228">
        <f t="shared" si="28"/>
        <v>7</v>
      </c>
      <c r="E197" s="229">
        <f t="shared" si="21"/>
        <v>43996</v>
      </c>
      <c r="F197" s="228">
        <f t="shared" si="22"/>
        <v>0</v>
      </c>
      <c r="G197" s="230" t="str">
        <f t="shared" si="23"/>
        <v/>
      </c>
      <c r="H197" s="231" t="str">
        <f t="shared" si="24"/>
        <v/>
      </c>
      <c r="I197" s="228">
        <f t="shared" si="25"/>
        <v>1</v>
      </c>
      <c r="J197" s="228">
        <f t="shared" si="26"/>
        <v>123</v>
      </c>
      <c r="Q197" s="504">
        <f t="shared" ca="1" si="29"/>
        <v>44041</v>
      </c>
    </row>
    <row r="198" spans="2:17">
      <c r="B198" s="226" t="str">
        <f t="shared" si="20"/>
        <v/>
      </c>
      <c r="C198" s="227">
        <f t="shared" si="27"/>
        <v>43997</v>
      </c>
      <c r="D198" s="228">
        <f t="shared" si="28"/>
        <v>1</v>
      </c>
      <c r="E198" s="229">
        <f t="shared" si="21"/>
        <v>43997</v>
      </c>
      <c r="F198" s="228">
        <f t="shared" si="22"/>
        <v>0</v>
      </c>
      <c r="G198" s="230" t="str">
        <f t="shared" si="23"/>
        <v/>
      </c>
      <c r="H198" s="231" t="str">
        <f t="shared" si="24"/>
        <v/>
      </c>
      <c r="I198" s="228">
        <f t="shared" si="25"/>
        <v>0</v>
      </c>
      <c r="J198" s="228">
        <f t="shared" si="26"/>
        <v>124</v>
      </c>
      <c r="Q198" s="504">
        <f t="shared" ca="1" si="29"/>
        <v>44042</v>
      </c>
    </row>
    <row r="199" spans="2:17">
      <c r="B199" s="226" t="str">
        <f t="shared" si="20"/>
        <v/>
      </c>
      <c r="C199" s="227">
        <f t="shared" si="27"/>
        <v>43998</v>
      </c>
      <c r="D199" s="228">
        <f t="shared" si="28"/>
        <v>2</v>
      </c>
      <c r="E199" s="229">
        <f t="shared" si="21"/>
        <v>43998</v>
      </c>
      <c r="F199" s="228">
        <f t="shared" si="22"/>
        <v>0</v>
      </c>
      <c r="G199" s="230" t="str">
        <f t="shared" si="23"/>
        <v/>
      </c>
      <c r="H199" s="231" t="str">
        <f t="shared" si="24"/>
        <v/>
      </c>
      <c r="I199" s="228">
        <f t="shared" si="25"/>
        <v>0</v>
      </c>
      <c r="J199" s="228">
        <f t="shared" si="26"/>
        <v>125</v>
      </c>
      <c r="Q199" s="504">
        <f t="shared" ca="1" si="29"/>
        <v>44043</v>
      </c>
    </row>
    <row r="200" spans="2:17">
      <c r="B200" s="226" t="str">
        <f t="shared" si="20"/>
        <v/>
      </c>
      <c r="C200" s="227">
        <f t="shared" si="27"/>
        <v>43999</v>
      </c>
      <c r="D200" s="228">
        <f t="shared" si="28"/>
        <v>3</v>
      </c>
      <c r="E200" s="229">
        <f t="shared" si="21"/>
        <v>43999</v>
      </c>
      <c r="F200" s="228">
        <f t="shared" si="22"/>
        <v>0</v>
      </c>
      <c r="G200" s="230" t="str">
        <f t="shared" si="23"/>
        <v/>
      </c>
      <c r="H200" s="231" t="str">
        <f t="shared" si="24"/>
        <v/>
      </c>
      <c r="I200" s="228">
        <f t="shared" si="25"/>
        <v>0</v>
      </c>
      <c r="J200" s="228">
        <f t="shared" si="26"/>
        <v>126</v>
      </c>
      <c r="Q200" s="504">
        <f t="shared" ca="1" si="29"/>
        <v>44044</v>
      </c>
    </row>
    <row r="201" spans="2:17">
      <c r="B201" s="226" t="str">
        <f t="shared" si="20"/>
        <v/>
      </c>
      <c r="C201" s="227">
        <f t="shared" si="27"/>
        <v>44000</v>
      </c>
      <c r="D201" s="228">
        <f t="shared" si="28"/>
        <v>4</v>
      </c>
      <c r="E201" s="229">
        <f t="shared" si="21"/>
        <v>44000</v>
      </c>
      <c r="F201" s="228">
        <f t="shared" si="22"/>
        <v>0</v>
      </c>
      <c r="G201" s="230" t="str">
        <f t="shared" si="23"/>
        <v/>
      </c>
      <c r="H201" s="231" t="str">
        <f t="shared" si="24"/>
        <v/>
      </c>
      <c r="I201" s="228">
        <f t="shared" si="25"/>
        <v>0</v>
      </c>
      <c r="J201" s="228">
        <f t="shared" si="26"/>
        <v>127</v>
      </c>
      <c r="Q201" s="504">
        <f t="shared" ca="1" si="29"/>
        <v>44045</v>
      </c>
    </row>
    <row r="202" spans="2:17">
      <c r="B202" s="226" t="str">
        <f t="shared" si="20"/>
        <v/>
      </c>
      <c r="C202" s="227">
        <f t="shared" si="27"/>
        <v>44001</v>
      </c>
      <c r="D202" s="228">
        <f t="shared" si="28"/>
        <v>5</v>
      </c>
      <c r="E202" s="229">
        <f t="shared" si="21"/>
        <v>44001</v>
      </c>
      <c r="F202" s="228">
        <f t="shared" si="22"/>
        <v>0</v>
      </c>
      <c r="G202" s="230" t="str">
        <f t="shared" si="23"/>
        <v/>
      </c>
      <c r="H202" s="231" t="str">
        <f t="shared" si="24"/>
        <v/>
      </c>
      <c r="I202" s="228">
        <f t="shared" si="25"/>
        <v>0</v>
      </c>
      <c r="J202" s="228">
        <f t="shared" si="26"/>
        <v>128</v>
      </c>
      <c r="Q202" s="504">
        <f t="shared" ca="1" si="29"/>
        <v>44046</v>
      </c>
    </row>
    <row r="203" spans="2:17">
      <c r="B203" s="226" t="str">
        <f t="shared" si="20"/>
        <v/>
      </c>
      <c r="C203" s="227">
        <f t="shared" si="27"/>
        <v>44002</v>
      </c>
      <c r="D203" s="228">
        <f t="shared" si="28"/>
        <v>6</v>
      </c>
      <c r="E203" s="229">
        <f t="shared" si="21"/>
        <v>44002</v>
      </c>
      <c r="F203" s="228">
        <f t="shared" si="22"/>
        <v>0</v>
      </c>
      <c r="G203" s="230" t="str">
        <f t="shared" si="23"/>
        <v/>
      </c>
      <c r="H203" s="231" t="str">
        <f t="shared" si="24"/>
        <v/>
      </c>
      <c r="I203" s="228">
        <f t="shared" si="25"/>
        <v>1</v>
      </c>
      <c r="J203" s="228">
        <f t="shared" si="26"/>
        <v>128</v>
      </c>
      <c r="Q203" s="504">
        <f t="shared" ca="1" si="29"/>
        <v>44047</v>
      </c>
    </row>
    <row r="204" spans="2:17">
      <c r="B204" s="226" t="str">
        <f t="shared" si="20"/>
        <v/>
      </c>
      <c r="C204" s="227">
        <f t="shared" si="27"/>
        <v>44003</v>
      </c>
      <c r="D204" s="228">
        <f t="shared" si="28"/>
        <v>7</v>
      </c>
      <c r="E204" s="229">
        <f t="shared" si="21"/>
        <v>44003</v>
      </c>
      <c r="F204" s="228">
        <f t="shared" si="22"/>
        <v>0</v>
      </c>
      <c r="G204" s="230" t="str">
        <f t="shared" si="23"/>
        <v/>
      </c>
      <c r="H204" s="231" t="str">
        <f t="shared" si="24"/>
        <v/>
      </c>
      <c r="I204" s="228">
        <f t="shared" si="25"/>
        <v>1</v>
      </c>
      <c r="J204" s="228">
        <f t="shared" si="26"/>
        <v>128</v>
      </c>
      <c r="Q204" s="504">
        <f t="shared" ca="1" si="29"/>
        <v>44048</v>
      </c>
    </row>
    <row r="205" spans="2:17">
      <c r="B205" s="226" t="str">
        <f t="shared" si="20"/>
        <v/>
      </c>
      <c r="C205" s="227">
        <f t="shared" si="27"/>
        <v>44004</v>
      </c>
      <c r="D205" s="228">
        <f t="shared" si="28"/>
        <v>1</v>
      </c>
      <c r="E205" s="229">
        <f t="shared" si="21"/>
        <v>44004</v>
      </c>
      <c r="F205" s="228">
        <f t="shared" si="22"/>
        <v>0</v>
      </c>
      <c r="G205" s="230" t="str">
        <f t="shared" si="23"/>
        <v/>
      </c>
      <c r="H205" s="231" t="str">
        <f t="shared" si="24"/>
        <v/>
      </c>
      <c r="I205" s="228">
        <f t="shared" si="25"/>
        <v>0</v>
      </c>
      <c r="J205" s="228">
        <f t="shared" si="26"/>
        <v>129</v>
      </c>
      <c r="Q205" s="504">
        <f t="shared" ca="1" si="29"/>
        <v>44049</v>
      </c>
    </row>
    <row r="206" spans="2:17">
      <c r="B206" s="226" t="str">
        <f t="shared" ref="B206:B269" si="30">IF(J206=$C$4,"Til","")</f>
        <v/>
      </c>
      <c r="C206" s="227">
        <f t="shared" si="27"/>
        <v>44005</v>
      </c>
      <c r="D206" s="228">
        <f t="shared" si="28"/>
        <v>2</v>
      </c>
      <c r="E206" s="229">
        <f t="shared" ref="E206:E269" si="31">C206</f>
        <v>44005</v>
      </c>
      <c r="F206" s="228">
        <f t="shared" ref="F206:F269" si="32">IF(C206="","",IFERROR(MATCH(C206,INDEX(caHellig,,2),0),0))</f>
        <v>0</v>
      </c>
      <c r="G206" s="230" t="str">
        <f t="shared" ref="G206:G269" si="33">IF(C206="","",IF(F206&gt;0,INDEX(caHellig,F206,2),""))</f>
        <v/>
      </c>
      <c r="H206" s="231" t="str">
        <f t="shared" ref="H206:H269" si="34">IF(C206="","",IF(F206&gt;0,INDEX(caHellig,F206,1),""))</f>
        <v/>
      </c>
      <c r="I206" s="228">
        <f t="shared" ref="I206:I269" si="35">IF(C206="","",IF(OR(D206&gt;5,F206,0),1,0))</f>
        <v>0</v>
      </c>
      <c r="J206" s="228">
        <f t="shared" ref="J206:J269" si="36">IF(C206="","",IF(I206=0,J205+1,J205))</f>
        <v>130</v>
      </c>
      <c r="Q206" s="504">
        <f t="shared" ca="1" si="29"/>
        <v>44050</v>
      </c>
    </row>
    <row r="207" spans="2:17">
      <c r="B207" s="226" t="str">
        <f t="shared" si="30"/>
        <v/>
      </c>
      <c r="C207" s="227">
        <f t="shared" ref="C207:C270" si="37">C206+1</f>
        <v>44006</v>
      </c>
      <c r="D207" s="228">
        <f t="shared" ref="D207:D270" si="38">IF(C207&lt;&gt;"",WEEKDAY(C207,2),"")</f>
        <v>3</v>
      </c>
      <c r="E207" s="229">
        <f t="shared" si="31"/>
        <v>44006</v>
      </c>
      <c r="F207" s="228">
        <f t="shared" si="32"/>
        <v>0</v>
      </c>
      <c r="G207" s="230" t="str">
        <f t="shared" si="33"/>
        <v/>
      </c>
      <c r="H207" s="231" t="str">
        <f t="shared" si="34"/>
        <v/>
      </c>
      <c r="I207" s="228">
        <f t="shared" si="35"/>
        <v>0</v>
      </c>
      <c r="J207" s="228">
        <f t="shared" si="36"/>
        <v>131</v>
      </c>
      <c r="Q207" s="504">
        <f t="shared" ref="Q207:Q270" ca="1" si="39">Q206+1</f>
        <v>44051</v>
      </c>
    </row>
    <row r="208" spans="2:17">
      <c r="B208" s="226" t="str">
        <f t="shared" si="30"/>
        <v/>
      </c>
      <c r="C208" s="227">
        <f t="shared" si="37"/>
        <v>44007</v>
      </c>
      <c r="D208" s="228">
        <f t="shared" si="38"/>
        <v>4</v>
      </c>
      <c r="E208" s="229">
        <f t="shared" si="31"/>
        <v>44007</v>
      </c>
      <c r="F208" s="228">
        <f t="shared" si="32"/>
        <v>0</v>
      </c>
      <c r="G208" s="230" t="str">
        <f t="shared" si="33"/>
        <v/>
      </c>
      <c r="H208" s="231" t="str">
        <f t="shared" si="34"/>
        <v/>
      </c>
      <c r="I208" s="228">
        <f t="shared" si="35"/>
        <v>0</v>
      </c>
      <c r="J208" s="228">
        <f t="shared" si="36"/>
        <v>132</v>
      </c>
      <c r="Q208" s="504">
        <f t="shared" ca="1" si="39"/>
        <v>44052</v>
      </c>
    </row>
    <row r="209" spans="2:17">
      <c r="B209" s="226" t="str">
        <f t="shared" si="30"/>
        <v/>
      </c>
      <c r="C209" s="227">
        <f t="shared" si="37"/>
        <v>44008</v>
      </c>
      <c r="D209" s="228">
        <f t="shared" si="38"/>
        <v>5</v>
      </c>
      <c r="E209" s="229">
        <f t="shared" si="31"/>
        <v>44008</v>
      </c>
      <c r="F209" s="228">
        <f t="shared" si="32"/>
        <v>0</v>
      </c>
      <c r="G209" s="230" t="str">
        <f t="shared" si="33"/>
        <v/>
      </c>
      <c r="H209" s="231" t="str">
        <f t="shared" si="34"/>
        <v/>
      </c>
      <c r="I209" s="228">
        <f t="shared" si="35"/>
        <v>0</v>
      </c>
      <c r="J209" s="228">
        <f t="shared" si="36"/>
        <v>133</v>
      </c>
      <c r="Q209" s="504">
        <f t="shared" ca="1" si="39"/>
        <v>44053</v>
      </c>
    </row>
    <row r="210" spans="2:17">
      <c r="B210" s="226" t="str">
        <f t="shared" si="30"/>
        <v/>
      </c>
      <c r="C210" s="227">
        <f t="shared" si="37"/>
        <v>44009</v>
      </c>
      <c r="D210" s="228">
        <f t="shared" si="38"/>
        <v>6</v>
      </c>
      <c r="E210" s="229">
        <f t="shared" si="31"/>
        <v>44009</v>
      </c>
      <c r="F210" s="228">
        <f t="shared" si="32"/>
        <v>0</v>
      </c>
      <c r="G210" s="230" t="str">
        <f t="shared" si="33"/>
        <v/>
      </c>
      <c r="H210" s="231" t="str">
        <f t="shared" si="34"/>
        <v/>
      </c>
      <c r="I210" s="228">
        <f t="shared" si="35"/>
        <v>1</v>
      </c>
      <c r="J210" s="228">
        <f t="shared" si="36"/>
        <v>133</v>
      </c>
      <c r="Q210" s="504">
        <f t="shared" ca="1" si="39"/>
        <v>44054</v>
      </c>
    </row>
    <row r="211" spans="2:17">
      <c r="B211" s="226" t="str">
        <f t="shared" si="30"/>
        <v/>
      </c>
      <c r="C211" s="227">
        <f t="shared" si="37"/>
        <v>44010</v>
      </c>
      <c r="D211" s="228">
        <f t="shared" si="38"/>
        <v>7</v>
      </c>
      <c r="E211" s="229">
        <f t="shared" si="31"/>
        <v>44010</v>
      </c>
      <c r="F211" s="228">
        <f t="shared" si="32"/>
        <v>0</v>
      </c>
      <c r="G211" s="230" t="str">
        <f t="shared" si="33"/>
        <v/>
      </c>
      <c r="H211" s="231" t="str">
        <f t="shared" si="34"/>
        <v/>
      </c>
      <c r="I211" s="228">
        <f t="shared" si="35"/>
        <v>1</v>
      </c>
      <c r="J211" s="228">
        <f t="shared" si="36"/>
        <v>133</v>
      </c>
      <c r="Q211" s="504">
        <f t="shared" ca="1" si="39"/>
        <v>44055</v>
      </c>
    </row>
    <row r="212" spans="2:17">
      <c r="B212" s="226" t="str">
        <f t="shared" si="30"/>
        <v/>
      </c>
      <c r="C212" s="227">
        <f t="shared" si="37"/>
        <v>44011</v>
      </c>
      <c r="D212" s="228">
        <f t="shared" si="38"/>
        <v>1</v>
      </c>
      <c r="E212" s="229">
        <f t="shared" si="31"/>
        <v>44011</v>
      </c>
      <c r="F212" s="228">
        <f t="shared" si="32"/>
        <v>0</v>
      </c>
      <c r="G212" s="230" t="str">
        <f t="shared" si="33"/>
        <v/>
      </c>
      <c r="H212" s="231" t="str">
        <f t="shared" si="34"/>
        <v/>
      </c>
      <c r="I212" s="228">
        <f t="shared" si="35"/>
        <v>0</v>
      </c>
      <c r="J212" s="228">
        <f t="shared" si="36"/>
        <v>134</v>
      </c>
      <c r="Q212" s="504">
        <f t="shared" ca="1" si="39"/>
        <v>44056</v>
      </c>
    </row>
    <row r="213" spans="2:17">
      <c r="B213" s="226" t="str">
        <f t="shared" si="30"/>
        <v/>
      </c>
      <c r="C213" s="227">
        <f t="shared" si="37"/>
        <v>44012</v>
      </c>
      <c r="D213" s="228">
        <f t="shared" si="38"/>
        <v>2</v>
      </c>
      <c r="E213" s="229">
        <f t="shared" si="31"/>
        <v>44012</v>
      </c>
      <c r="F213" s="228">
        <f t="shared" si="32"/>
        <v>0</v>
      </c>
      <c r="G213" s="230" t="str">
        <f t="shared" si="33"/>
        <v/>
      </c>
      <c r="H213" s="231" t="str">
        <f t="shared" si="34"/>
        <v/>
      </c>
      <c r="I213" s="228">
        <f t="shared" si="35"/>
        <v>0</v>
      </c>
      <c r="J213" s="228">
        <f t="shared" si="36"/>
        <v>135</v>
      </c>
      <c r="Q213" s="504">
        <f t="shared" ca="1" si="39"/>
        <v>44057</v>
      </c>
    </row>
    <row r="214" spans="2:17">
      <c r="B214" s="226" t="str">
        <f t="shared" si="30"/>
        <v/>
      </c>
      <c r="C214" s="227">
        <f t="shared" si="37"/>
        <v>44013</v>
      </c>
      <c r="D214" s="228">
        <f t="shared" si="38"/>
        <v>3</v>
      </c>
      <c r="E214" s="229">
        <f t="shared" si="31"/>
        <v>44013</v>
      </c>
      <c r="F214" s="228">
        <f t="shared" si="32"/>
        <v>0</v>
      </c>
      <c r="G214" s="230" t="str">
        <f t="shared" si="33"/>
        <v/>
      </c>
      <c r="H214" s="231" t="str">
        <f t="shared" si="34"/>
        <v/>
      </c>
      <c r="I214" s="228">
        <f t="shared" si="35"/>
        <v>0</v>
      </c>
      <c r="J214" s="228">
        <f t="shared" si="36"/>
        <v>136</v>
      </c>
      <c r="Q214" s="504">
        <f t="shared" ca="1" si="39"/>
        <v>44058</v>
      </c>
    </row>
    <row r="215" spans="2:17">
      <c r="B215" s="226" t="str">
        <f t="shared" si="30"/>
        <v/>
      </c>
      <c r="C215" s="227">
        <f t="shared" si="37"/>
        <v>44014</v>
      </c>
      <c r="D215" s="228">
        <f t="shared" si="38"/>
        <v>4</v>
      </c>
      <c r="E215" s="229">
        <f t="shared" si="31"/>
        <v>44014</v>
      </c>
      <c r="F215" s="228">
        <f t="shared" si="32"/>
        <v>0</v>
      </c>
      <c r="G215" s="230" t="str">
        <f t="shared" si="33"/>
        <v/>
      </c>
      <c r="H215" s="231" t="str">
        <f t="shared" si="34"/>
        <v/>
      </c>
      <c r="I215" s="228">
        <f t="shared" si="35"/>
        <v>0</v>
      </c>
      <c r="J215" s="228">
        <f t="shared" si="36"/>
        <v>137</v>
      </c>
      <c r="Q215" s="504">
        <f t="shared" ca="1" si="39"/>
        <v>44059</v>
      </c>
    </row>
    <row r="216" spans="2:17">
      <c r="B216" s="226" t="str">
        <f t="shared" si="30"/>
        <v/>
      </c>
      <c r="C216" s="227">
        <f t="shared" si="37"/>
        <v>44015</v>
      </c>
      <c r="D216" s="228">
        <f t="shared" si="38"/>
        <v>5</v>
      </c>
      <c r="E216" s="229">
        <f t="shared" si="31"/>
        <v>44015</v>
      </c>
      <c r="F216" s="228">
        <f t="shared" si="32"/>
        <v>0</v>
      </c>
      <c r="G216" s="230" t="str">
        <f t="shared" si="33"/>
        <v/>
      </c>
      <c r="H216" s="231" t="str">
        <f t="shared" si="34"/>
        <v/>
      </c>
      <c r="I216" s="228">
        <f t="shared" si="35"/>
        <v>0</v>
      </c>
      <c r="J216" s="228">
        <f t="shared" si="36"/>
        <v>138</v>
      </c>
      <c r="Q216" s="504">
        <f t="shared" ca="1" si="39"/>
        <v>44060</v>
      </c>
    </row>
    <row r="217" spans="2:17">
      <c r="B217" s="226" t="str">
        <f t="shared" si="30"/>
        <v/>
      </c>
      <c r="C217" s="227">
        <f t="shared" si="37"/>
        <v>44016</v>
      </c>
      <c r="D217" s="228">
        <f t="shared" si="38"/>
        <v>6</v>
      </c>
      <c r="E217" s="229">
        <f t="shared" si="31"/>
        <v>44016</v>
      </c>
      <c r="F217" s="228">
        <f t="shared" si="32"/>
        <v>0</v>
      </c>
      <c r="G217" s="230" t="str">
        <f t="shared" si="33"/>
        <v/>
      </c>
      <c r="H217" s="231" t="str">
        <f t="shared" si="34"/>
        <v/>
      </c>
      <c r="I217" s="228">
        <f t="shared" si="35"/>
        <v>1</v>
      </c>
      <c r="J217" s="228">
        <f t="shared" si="36"/>
        <v>138</v>
      </c>
      <c r="Q217" s="504">
        <f t="shared" ca="1" si="39"/>
        <v>44061</v>
      </c>
    </row>
    <row r="218" spans="2:17">
      <c r="B218" s="226" t="str">
        <f t="shared" si="30"/>
        <v/>
      </c>
      <c r="C218" s="227">
        <f t="shared" si="37"/>
        <v>44017</v>
      </c>
      <c r="D218" s="228">
        <f t="shared" si="38"/>
        <v>7</v>
      </c>
      <c r="E218" s="229">
        <f t="shared" si="31"/>
        <v>44017</v>
      </c>
      <c r="F218" s="228">
        <f t="shared" si="32"/>
        <v>0</v>
      </c>
      <c r="G218" s="230" t="str">
        <f t="shared" si="33"/>
        <v/>
      </c>
      <c r="H218" s="231" t="str">
        <f t="shared" si="34"/>
        <v/>
      </c>
      <c r="I218" s="228">
        <f t="shared" si="35"/>
        <v>1</v>
      </c>
      <c r="J218" s="228">
        <f t="shared" si="36"/>
        <v>138</v>
      </c>
      <c r="Q218" s="504">
        <f t="shared" ca="1" si="39"/>
        <v>44062</v>
      </c>
    </row>
    <row r="219" spans="2:17">
      <c r="B219" s="226" t="str">
        <f t="shared" si="30"/>
        <v/>
      </c>
      <c r="C219" s="227">
        <f t="shared" si="37"/>
        <v>44018</v>
      </c>
      <c r="D219" s="228">
        <f t="shared" si="38"/>
        <v>1</v>
      </c>
      <c r="E219" s="229">
        <f t="shared" si="31"/>
        <v>44018</v>
      </c>
      <c r="F219" s="228">
        <f t="shared" si="32"/>
        <v>0</v>
      </c>
      <c r="G219" s="230" t="str">
        <f t="shared" si="33"/>
        <v/>
      </c>
      <c r="H219" s="231" t="str">
        <f t="shared" si="34"/>
        <v/>
      </c>
      <c r="I219" s="228">
        <f t="shared" si="35"/>
        <v>0</v>
      </c>
      <c r="J219" s="228">
        <f t="shared" si="36"/>
        <v>139</v>
      </c>
      <c r="Q219" s="504">
        <f t="shared" ca="1" si="39"/>
        <v>44063</v>
      </c>
    </row>
    <row r="220" spans="2:17">
      <c r="B220" s="226" t="str">
        <f t="shared" si="30"/>
        <v/>
      </c>
      <c r="C220" s="227">
        <f t="shared" si="37"/>
        <v>44019</v>
      </c>
      <c r="D220" s="228">
        <f t="shared" si="38"/>
        <v>2</v>
      </c>
      <c r="E220" s="229">
        <f t="shared" si="31"/>
        <v>44019</v>
      </c>
      <c r="F220" s="228">
        <f t="shared" si="32"/>
        <v>0</v>
      </c>
      <c r="G220" s="230" t="str">
        <f t="shared" si="33"/>
        <v/>
      </c>
      <c r="H220" s="231" t="str">
        <f t="shared" si="34"/>
        <v/>
      </c>
      <c r="I220" s="228">
        <f t="shared" si="35"/>
        <v>0</v>
      </c>
      <c r="J220" s="228">
        <f t="shared" si="36"/>
        <v>140</v>
      </c>
      <c r="Q220" s="504">
        <f t="shared" ca="1" si="39"/>
        <v>44064</v>
      </c>
    </row>
    <row r="221" spans="2:17">
      <c r="B221" s="226" t="str">
        <f t="shared" si="30"/>
        <v/>
      </c>
      <c r="C221" s="227">
        <f t="shared" si="37"/>
        <v>44020</v>
      </c>
      <c r="D221" s="228">
        <f t="shared" si="38"/>
        <v>3</v>
      </c>
      <c r="E221" s="229">
        <f t="shared" si="31"/>
        <v>44020</v>
      </c>
      <c r="F221" s="228">
        <f t="shared" si="32"/>
        <v>0</v>
      </c>
      <c r="G221" s="230" t="str">
        <f t="shared" si="33"/>
        <v/>
      </c>
      <c r="H221" s="231" t="str">
        <f t="shared" si="34"/>
        <v/>
      </c>
      <c r="I221" s="228">
        <f t="shared" si="35"/>
        <v>0</v>
      </c>
      <c r="J221" s="228">
        <f t="shared" si="36"/>
        <v>141</v>
      </c>
      <c r="Q221" s="504">
        <f t="shared" ca="1" si="39"/>
        <v>44065</v>
      </c>
    </row>
    <row r="222" spans="2:17">
      <c r="B222" s="226" t="str">
        <f t="shared" si="30"/>
        <v/>
      </c>
      <c r="C222" s="227">
        <f t="shared" si="37"/>
        <v>44021</v>
      </c>
      <c r="D222" s="228">
        <f t="shared" si="38"/>
        <v>4</v>
      </c>
      <c r="E222" s="229">
        <f t="shared" si="31"/>
        <v>44021</v>
      </c>
      <c r="F222" s="228">
        <f t="shared" si="32"/>
        <v>0</v>
      </c>
      <c r="G222" s="230" t="str">
        <f t="shared" si="33"/>
        <v/>
      </c>
      <c r="H222" s="231" t="str">
        <f t="shared" si="34"/>
        <v/>
      </c>
      <c r="I222" s="228">
        <f t="shared" si="35"/>
        <v>0</v>
      </c>
      <c r="J222" s="228">
        <f t="shared" si="36"/>
        <v>142</v>
      </c>
      <c r="Q222" s="504">
        <f t="shared" ca="1" si="39"/>
        <v>44066</v>
      </c>
    </row>
    <row r="223" spans="2:17">
      <c r="B223" s="226" t="str">
        <f t="shared" si="30"/>
        <v/>
      </c>
      <c r="C223" s="227">
        <f t="shared" si="37"/>
        <v>44022</v>
      </c>
      <c r="D223" s="228">
        <f t="shared" si="38"/>
        <v>5</v>
      </c>
      <c r="E223" s="229">
        <f t="shared" si="31"/>
        <v>44022</v>
      </c>
      <c r="F223" s="228">
        <f t="shared" si="32"/>
        <v>0</v>
      </c>
      <c r="G223" s="230" t="str">
        <f t="shared" si="33"/>
        <v/>
      </c>
      <c r="H223" s="231" t="str">
        <f t="shared" si="34"/>
        <v/>
      </c>
      <c r="I223" s="228">
        <f t="shared" si="35"/>
        <v>0</v>
      </c>
      <c r="J223" s="228">
        <f t="shared" si="36"/>
        <v>143</v>
      </c>
      <c r="Q223" s="504">
        <f t="shared" ca="1" si="39"/>
        <v>44067</v>
      </c>
    </row>
    <row r="224" spans="2:17">
      <c r="B224" s="226" t="str">
        <f t="shared" si="30"/>
        <v/>
      </c>
      <c r="C224" s="227">
        <f t="shared" si="37"/>
        <v>44023</v>
      </c>
      <c r="D224" s="228">
        <f t="shared" si="38"/>
        <v>6</v>
      </c>
      <c r="E224" s="229">
        <f t="shared" si="31"/>
        <v>44023</v>
      </c>
      <c r="F224" s="228">
        <f t="shared" si="32"/>
        <v>0</v>
      </c>
      <c r="G224" s="230" t="str">
        <f t="shared" si="33"/>
        <v/>
      </c>
      <c r="H224" s="231" t="str">
        <f t="shared" si="34"/>
        <v/>
      </c>
      <c r="I224" s="228">
        <f t="shared" si="35"/>
        <v>1</v>
      </c>
      <c r="J224" s="228">
        <f t="shared" si="36"/>
        <v>143</v>
      </c>
      <c r="Q224" s="504">
        <f t="shared" ca="1" si="39"/>
        <v>44068</v>
      </c>
    </row>
    <row r="225" spans="2:17">
      <c r="B225" s="226" t="str">
        <f t="shared" si="30"/>
        <v/>
      </c>
      <c r="C225" s="227">
        <f t="shared" si="37"/>
        <v>44024</v>
      </c>
      <c r="D225" s="228">
        <f t="shared" si="38"/>
        <v>7</v>
      </c>
      <c r="E225" s="229">
        <f t="shared" si="31"/>
        <v>44024</v>
      </c>
      <c r="F225" s="228">
        <f t="shared" si="32"/>
        <v>0</v>
      </c>
      <c r="G225" s="230" t="str">
        <f t="shared" si="33"/>
        <v/>
      </c>
      <c r="H225" s="231" t="str">
        <f t="shared" si="34"/>
        <v/>
      </c>
      <c r="I225" s="228">
        <f t="shared" si="35"/>
        <v>1</v>
      </c>
      <c r="J225" s="228">
        <f t="shared" si="36"/>
        <v>143</v>
      </c>
      <c r="Q225" s="504">
        <f t="shared" ca="1" si="39"/>
        <v>44069</v>
      </c>
    </row>
    <row r="226" spans="2:17">
      <c r="B226" s="226" t="str">
        <f t="shared" si="30"/>
        <v/>
      </c>
      <c r="C226" s="227">
        <f t="shared" si="37"/>
        <v>44025</v>
      </c>
      <c r="D226" s="228">
        <f t="shared" si="38"/>
        <v>1</v>
      </c>
      <c r="E226" s="229">
        <f t="shared" si="31"/>
        <v>44025</v>
      </c>
      <c r="F226" s="228">
        <f t="shared" si="32"/>
        <v>0</v>
      </c>
      <c r="G226" s="230" t="str">
        <f t="shared" si="33"/>
        <v/>
      </c>
      <c r="H226" s="231" t="str">
        <f t="shared" si="34"/>
        <v/>
      </c>
      <c r="I226" s="228">
        <f t="shared" si="35"/>
        <v>0</v>
      </c>
      <c r="J226" s="228">
        <f t="shared" si="36"/>
        <v>144</v>
      </c>
      <c r="Q226" s="504">
        <f t="shared" ca="1" si="39"/>
        <v>44070</v>
      </c>
    </row>
    <row r="227" spans="2:17">
      <c r="B227" s="226" t="str">
        <f t="shared" si="30"/>
        <v/>
      </c>
      <c r="C227" s="227">
        <f t="shared" si="37"/>
        <v>44026</v>
      </c>
      <c r="D227" s="228">
        <f t="shared" si="38"/>
        <v>2</v>
      </c>
      <c r="E227" s="229">
        <f t="shared" si="31"/>
        <v>44026</v>
      </c>
      <c r="F227" s="228">
        <f t="shared" si="32"/>
        <v>0</v>
      </c>
      <c r="G227" s="230" t="str">
        <f t="shared" si="33"/>
        <v/>
      </c>
      <c r="H227" s="231" t="str">
        <f t="shared" si="34"/>
        <v/>
      </c>
      <c r="I227" s="228">
        <f t="shared" si="35"/>
        <v>0</v>
      </c>
      <c r="J227" s="228">
        <f t="shared" si="36"/>
        <v>145</v>
      </c>
      <c r="Q227" s="504">
        <f t="shared" ca="1" si="39"/>
        <v>44071</v>
      </c>
    </row>
    <row r="228" spans="2:17">
      <c r="B228" s="226" t="str">
        <f t="shared" si="30"/>
        <v/>
      </c>
      <c r="C228" s="227">
        <f t="shared" si="37"/>
        <v>44027</v>
      </c>
      <c r="D228" s="228">
        <f t="shared" si="38"/>
        <v>3</v>
      </c>
      <c r="E228" s="229">
        <f t="shared" si="31"/>
        <v>44027</v>
      </c>
      <c r="F228" s="228">
        <f t="shared" si="32"/>
        <v>0</v>
      </c>
      <c r="G228" s="230" t="str">
        <f t="shared" si="33"/>
        <v/>
      </c>
      <c r="H228" s="231" t="str">
        <f t="shared" si="34"/>
        <v/>
      </c>
      <c r="I228" s="228">
        <f t="shared" si="35"/>
        <v>0</v>
      </c>
      <c r="J228" s="228">
        <f t="shared" si="36"/>
        <v>146</v>
      </c>
      <c r="Q228" s="504">
        <f t="shared" ca="1" si="39"/>
        <v>44072</v>
      </c>
    </row>
    <row r="229" spans="2:17">
      <c r="B229" s="226" t="str">
        <f t="shared" si="30"/>
        <v/>
      </c>
      <c r="C229" s="227">
        <f t="shared" si="37"/>
        <v>44028</v>
      </c>
      <c r="D229" s="228">
        <f t="shared" si="38"/>
        <v>4</v>
      </c>
      <c r="E229" s="229">
        <f t="shared" si="31"/>
        <v>44028</v>
      </c>
      <c r="F229" s="228">
        <f t="shared" si="32"/>
        <v>0</v>
      </c>
      <c r="G229" s="230" t="str">
        <f t="shared" si="33"/>
        <v/>
      </c>
      <c r="H229" s="231" t="str">
        <f t="shared" si="34"/>
        <v/>
      </c>
      <c r="I229" s="228">
        <f t="shared" si="35"/>
        <v>0</v>
      </c>
      <c r="J229" s="228">
        <f t="shared" si="36"/>
        <v>147</v>
      </c>
      <c r="Q229" s="504">
        <f t="shared" ca="1" si="39"/>
        <v>44073</v>
      </c>
    </row>
    <row r="230" spans="2:17">
      <c r="B230" s="226" t="str">
        <f t="shared" si="30"/>
        <v/>
      </c>
      <c r="C230" s="227">
        <f t="shared" si="37"/>
        <v>44029</v>
      </c>
      <c r="D230" s="228">
        <f t="shared" si="38"/>
        <v>5</v>
      </c>
      <c r="E230" s="229">
        <f t="shared" si="31"/>
        <v>44029</v>
      </c>
      <c r="F230" s="228">
        <f t="shared" si="32"/>
        <v>0</v>
      </c>
      <c r="G230" s="230" t="str">
        <f t="shared" si="33"/>
        <v/>
      </c>
      <c r="H230" s="231" t="str">
        <f t="shared" si="34"/>
        <v/>
      </c>
      <c r="I230" s="228">
        <f t="shared" si="35"/>
        <v>0</v>
      </c>
      <c r="J230" s="228">
        <f t="shared" si="36"/>
        <v>148</v>
      </c>
      <c r="Q230" s="504">
        <f t="shared" ca="1" si="39"/>
        <v>44074</v>
      </c>
    </row>
    <row r="231" spans="2:17">
      <c r="B231" s="226" t="str">
        <f t="shared" si="30"/>
        <v/>
      </c>
      <c r="C231" s="227">
        <f t="shared" si="37"/>
        <v>44030</v>
      </c>
      <c r="D231" s="228">
        <f t="shared" si="38"/>
        <v>6</v>
      </c>
      <c r="E231" s="229">
        <f t="shared" si="31"/>
        <v>44030</v>
      </c>
      <c r="F231" s="228">
        <f t="shared" si="32"/>
        <v>0</v>
      </c>
      <c r="G231" s="230" t="str">
        <f t="shared" si="33"/>
        <v/>
      </c>
      <c r="H231" s="231" t="str">
        <f t="shared" si="34"/>
        <v/>
      </c>
      <c r="I231" s="228">
        <f t="shared" si="35"/>
        <v>1</v>
      </c>
      <c r="J231" s="228">
        <f t="shared" si="36"/>
        <v>148</v>
      </c>
      <c r="Q231" s="504">
        <f t="shared" ca="1" si="39"/>
        <v>44075</v>
      </c>
    </row>
    <row r="232" spans="2:17">
      <c r="B232" s="226" t="str">
        <f t="shared" si="30"/>
        <v/>
      </c>
      <c r="C232" s="227">
        <f t="shared" si="37"/>
        <v>44031</v>
      </c>
      <c r="D232" s="228">
        <f t="shared" si="38"/>
        <v>7</v>
      </c>
      <c r="E232" s="229">
        <f t="shared" si="31"/>
        <v>44031</v>
      </c>
      <c r="F232" s="228">
        <f t="shared" si="32"/>
        <v>0</v>
      </c>
      <c r="G232" s="230" t="str">
        <f t="shared" si="33"/>
        <v/>
      </c>
      <c r="H232" s="231" t="str">
        <f t="shared" si="34"/>
        <v/>
      </c>
      <c r="I232" s="228">
        <f t="shared" si="35"/>
        <v>1</v>
      </c>
      <c r="J232" s="228">
        <f t="shared" si="36"/>
        <v>148</v>
      </c>
      <c r="Q232" s="504">
        <f t="shared" ca="1" si="39"/>
        <v>44076</v>
      </c>
    </row>
    <row r="233" spans="2:17">
      <c r="B233" s="226" t="str">
        <f t="shared" si="30"/>
        <v/>
      </c>
      <c r="C233" s="227">
        <f t="shared" si="37"/>
        <v>44032</v>
      </c>
      <c r="D233" s="228">
        <f t="shared" si="38"/>
        <v>1</v>
      </c>
      <c r="E233" s="229">
        <f t="shared" si="31"/>
        <v>44032</v>
      </c>
      <c r="F233" s="228">
        <f t="shared" si="32"/>
        <v>0</v>
      </c>
      <c r="G233" s="230" t="str">
        <f t="shared" si="33"/>
        <v/>
      </c>
      <c r="H233" s="231" t="str">
        <f t="shared" si="34"/>
        <v/>
      </c>
      <c r="I233" s="228">
        <f t="shared" si="35"/>
        <v>0</v>
      </c>
      <c r="J233" s="228">
        <f t="shared" si="36"/>
        <v>149</v>
      </c>
      <c r="Q233" s="504">
        <f t="shared" ca="1" si="39"/>
        <v>44077</v>
      </c>
    </row>
    <row r="234" spans="2:17">
      <c r="B234" s="226" t="str">
        <f t="shared" si="30"/>
        <v/>
      </c>
      <c r="C234" s="227">
        <f t="shared" si="37"/>
        <v>44033</v>
      </c>
      <c r="D234" s="228">
        <f t="shared" si="38"/>
        <v>2</v>
      </c>
      <c r="E234" s="229">
        <f t="shared" si="31"/>
        <v>44033</v>
      </c>
      <c r="F234" s="228">
        <f t="shared" si="32"/>
        <v>0</v>
      </c>
      <c r="G234" s="230" t="str">
        <f t="shared" si="33"/>
        <v/>
      </c>
      <c r="H234" s="231" t="str">
        <f t="shared" si="34"/>
        <v/>
      </c>
      <c r="I234" s="228">
        <f t="shared" si="35"/>
        <v>0</v>
      </c>
      <c r="J234" s="228">
        <f t="shared" si="36"/>
        <v>150</v>
      </c>
      <c r="Q234" s="504">
        <f t="shared" ca="1" si="39"/>
        <v>44078</v>
      </c>
    </row>
    <row r="235" spans="2:17">
      <c r="B235" s="226" t="str">
        <f t="shared" si="30"/>
        <v/>
      </c>
      <c r="C235" s="227">
        <f t="shared" si="37"/>
        <v>44034</v>
      </c>
      <c r="D235" s="228">
        <f t="shared" si="38"/>
        <v>3</v>
      </c>
      <c r="E235" s="229">
        <f t="shared" si="31"/>
        <v>44034</v>
      </c>
      <c r="F235" s="228">
        <f t="shared" si="32"/>
        <v>0</v>
      </c>
      <c r="G235" s="230" t="str">
        <f t="shared" si="33"/>
        <v/>
      </c>
      <c r="H235" s="231" t="str">
        <f t="shared" si="34"/>
        <v/>
      </c>
      <c r="I235" s="228">
        <f t="shared" si="35"/>
        <v>0</v>
      </c>
      <c r="J235" s="228">
        <f t="shared" si="36"/>
        <v>151</v>
      </c>
      <c r="Q235" s="504">
        <f t="shared" ca="1" si="39"/>
        <v>44079</v>
      </c>
    </row>
    <row r="236" spans="2:17">
      <c r="B236" s="226" t="str">
        <f t="shared" si="30"/>
        <v/>
      </c>
      <c r="C236" s="227">
        <f t="shared" si="37"/>
        <v>44035</v>
      </c>
      <c r="D236" s="228">
        <f t="shared" si="38"/>
        <v>4</v>
      </c>
      <c r="E236" s="229">
        <f t="shared" si="31"/>
        <v>44035</v>
      </c>
      <c r="F236" s="228">
        <f t="shared" si="32"/>
        <v>0</v>
      </c>
      <c r="G236" s="230" t="str">
        <f t="shared" si="33"/>
        <v/>
      </c>
      <c r="H236" s="231" t="str">
        <f t="shared" si="34"/>
        <v/>
      </c>
      <c r="I236" s="228">
        <f t="shared" si="35"/>
        <v>0</v>
      </c>
      <c r="J236" s="228">
        <f t="shared" si="36"/>
        <v>152</v>
      </c>
      <c r="Q236" s="504">
        <f t="shared" ca="1" si="39"/>
        <v>44080</v>
      </c>
    </row>
    <row r="237" spans="2:17">
      <c r="B237" s="226" t="str">
        <f t="shared" si="30"/>
        <v/>
      </c>
      <c r="C237" s="227">
        <f t="shared" si="37"/>
        <v>44036</v>
      </c>
      <c r="D237" s="228">
        <f t="shared" si="38"/>
        <v>5</v>
      </c>
      <c r="E237" s="229">
        <f t="shared" si="31"/>
        <v>44036</v>
      </c>
      <c r="F237" s="228">
        <f t="shared" si="32"/>
        <v>0</v>
      </c>
      <c r="G237" s="230" t="str">
        <f t="shared" si="33"/>
        <v/>
      </c>
      <c r="H237" s="231" t="str">
        <f t="shared" si="34"/>
        <v/>
      </c>
      <c r="I237" s="228">
        <f t="shared" si="35"/>
        <v>0</v>
      </c>
      <c r="J237" s="228">
        <f t="shared" si="36"/>
        <v>153</v>
      </c>
      <c r="Q237" s="504">
        <f t="shared" ca="1" si="39"/>
        <v>44081</v>
      </c>
    </row>
    <row r="238" spans="2:17">
      <c r="B238" s="226" t="str">
        <f t="shared" si="30"/>
        <v/>
      </c>
      <c r="C238" s="227">
        <f t="shared" si="37"/>
        <v>44037</v>
      </c>
      <c r="D238" s="228">
        <f t="shared" si="38"/>
        <v>6</v>
      </c>
      <c r="E238" s="229">
        <f t="shared" si="31"/>
        <v>44037</v>
      </c>
      <c r="F238" s="228">
        <f t="shared" si="32"/>
        <v>0</v>
      </c>
      <c r="G238" s="230" t="str">
        <f t="shared" si="33"/>
        <v/>
      </c>
      <c r="H238" s="231" t="str">
        <f t="shared" si="34"/>
        <v/>
      </c>
      <c r="I238" s="228">
        <f t="shared" si="35"/>
        <v>1</v>
      </c>
      <c r="J238" s="228">
        <f t="shared" si="36"/>
        <v>153</v>
      </c>
      <c r="Q238" s="504">
        <f t="shared" ca="1" si="39"/>
        <v>44082</v>
      </c>
    </row>
    <row r="239" spans="2:17">
      <c r="B239" s="226" t="str">
        <f t="shared" si="30"/>
        <v/>
      </c>
      <c r="C239" s="227">
        <f t="shared" si="37"/>
        <v>44038</v>
      </c>
      <c r="D239" s="228">
        <f t="shared" si="38"/>
        <v>7</v>
      </c>
      <c r="E239" s="229">
        <f t="shared" si="31"/>
        <v>44038</v>
      </c>
      <c r="F239" s="228">
        <f t="shared" si="32"/>
        <v>0</v>
      </c>
      <c r="G239" s="230" t="str">
        <f t="shared" si="33"/>
        <v/>
      </c>
      <c r="H239" s="231" t="str">
        <f t="shared" si="34"/>
        <v/>
      </c>
      <c r="I239" s="228">
        <f t="shared" si="35"/>
        <v>1</v>
      </c>
      <c r="J239" s="228">
        <f t="shared" si="36"/>
        <v>153</v>
      </c>
      <c r="Q239" s="504">
        <f t="shared" ca="1" si="39"/>
        <v>44083</v>
      </c>
    </row>
    <row r="240" spans="2:17">
      <c r="B240" s="226" t="str">
        <f t="shared" si="30"/>
        <v/>
      </c>
      <c r="C240" s="227">
        <f t="shared" si="37"/>
        <v>44039</v>
      </c>
      <c r="D240" s="228">
        <f t="shared" si="38"/>
        <v>1</v>
      </c>
      <c r="E240" s="229">
        <f t="shared" si="31"/>
        <v>44039</v>
      </c>
      <c r="F240" s="228">
        <f t="shared" si="32"/>
        <v>0</v>
      </c>
      <c r="G240" s="230" t="str">
        <f t="shared" si="33"/>
        <v/>
      </c>
      <c r="H240" s="231" t="str">
        <f t="shared" si="34"/>
        <v/>
      </c>
      <c r="I240" s="228">
        <f t="shared" si="35"/>
        <v>0</v>
      </c>
      <c r="J240" s="228">
        <f t="shared" si="36"/>
        <v>154</v>
      </c>
      <c r="Q240" s="504">
        <f t="shared" ca="1" si="39"/>
        <v>44084</v>
      </c>
    </row>
    <row r="241" spans="2:17">
      <c r="B241" s="226" t="str">
        <f t="shared" si="30"/>
        <v/>
      </c>
      <c r="C241" s="227">
        <f t="shared" si="37"/>
        <v>44040</v>
      </c>
      <c r="D241" s="228">
        <f t="shared" si="38"/>
        <v>2</v>
      </c>
      <c r="E241" s="229">
        <f t="shared" si="31"/>
        <v>44040</v>
      </c>
      <c r="F241" s="228">
        <f t="shared" si="32"/>
        <v>0</v>
      </c>
      <c r="G241" s="230" t="str">
        <f t="shared" si="33"/>
        <v/>
      </c>
      <c r="H241" s="231" t="str">
        <f t="shared" si="34"/>
        <v/>
      </c>
      <c r="I241" s="228">
        <f t="shared" si="35"/>
        <v>0</v>
      </c>
      <c r="J241" s="228">
        <f t="shared" si="36"/>
        <v>155</v>
      </c>
      <c r="Q241" s="504">
        <f t="shared" ca="1" si="39"/>
        <v>44085</v>
      </c>
    </row>
    <row r="242" spans="2:17">
      <c r="B242" s="226" t="str">
        <f t="shared" si="30"/>
        <v/>
      </c>
      <c r="C242" s="227">
        <f t="shared" si="37"/>
        <v>44041</v>
      </c>
      <c r="D242" s="228">
        <f t="shared" si="38"/>
        <v>3</v>
      </c>
      <c r="E242" s="229">
        <f t="shared" si="31"/>
        <v>44041</v>
      </c>
      <c r="F242" s="228">
        <f t="shared" si="32"/>
        <v>0</v>
      </c>
      <c r="G242" s="230" t="str">
        <f t="shared" si="33"/>
        <v/>
      </c>
      <c r="H242" s="231" t="str">
        <f t="shared" si="34"/>
        <v/>
      </c>
      <c r="I242" s="228">
        <f t="shared" si="35"/>
        <v>0</v>
      </c>
      <c r="J242" s="228">
        <f t="shared" si="36"/>
        <v>156</v>
      </c>
      <c r="Q242" s="504">
        <f t="shared" ca="1" si="39"/>
        <v>44086</v>
      </c>
    </row>
    <row r="243" spans="2:17">
      <c r="B243" s="226" t="str">
        <f t="shared" si="30"/>
        <v/>
      </c>
      <c r="C243" s="227">
        <f t="shared" si="37"/>
        <v>44042</v>
      </c>
      <c r="D243" s="228">
        <f t="shared" si="38"/>
        <v>4</v>
      </c>
      <c r="E243" s="229">
        <f t="shared" si="31"/>
        <v>44042</v>
      </c>
      <c r="F243" s="228">
        <f t="shared" si="32"/>
        <v>0</v>
      </c>
      <c r="G243" s="230" t="str">
        <f t="shared" si="33"/>
        <v/>
      </c>
      <c r="H243" s="231" t="str">
        <f t="shared" si="34"/>
        <v/>
      </c>
      <c r="I243" s="228">
        <f t="shared" si="35"/>
        <v>0</v>
      </c>
      <c r="J243" s="228">
        <f t="shared" si="36"/>
        <v>157</v>
      </c>
      <c r="Q243" s="504">
        <f t="shared" ca="1" si="39"/>
        <v>44087</v>
      </c>
    </row>
    <row r="244" spans="2:17">
      <c r="B244" s="226" t="str">
        <f t="shared" si="30"/>
        <v/>
      </c>
      <c r="C244" s="227">
        <f t="shared" si="37"/>
        <v>44043</v>
      </c>
      <c r="D244" s="228">
        <f t="shared" si="38"/>
        <v>5</v>
      </c>
      <c r="E244" s="229">
        <f t="shared" si="31"/>
        <v>44043</v>
      </c>
      <c r="F244" s="228">
        <f t="shared" si="32"/>
        <v>0</v>
      </c>
      <c r="G244" s="230" t="str">
        <f t="shared" si="33"/>
        <v/>
      </c>
      <c r="H244" s="231" t="str">
        <f t="shared" si="34"/>
        <v/>
      </c>
      <c r="I244" s="228">
        <f t="shared" si="35"/>
        <v>0</v>
      </c>
      <c r="J244" s="228">
        <f t="shared" si="36"/>
        <v>158</v>
      </c>
      <c r="Q244" s="504">
        <f t="shared" ca="1" si="39"/>
        <v>44088</v>
      </c>
    </row>
    <row r="245" spans="2:17">
      <c r="B245" s="226" t="str">
        <f t="shared" si="30"/>
        <v/>
      </c>
      <c r="C245" s="227">
        <f t="shared" si="37"/>
        <v>44044</v>
      </c>
      <c r="D245" s="228">
        <f t="shared" si="38"/>
        <v>6</v>
      </c>
      <c r="E245" s="229">
        <f t="shared" si="31"/>
        <v>44044</v>
      </c>
      <c r="F245" s="228">
        <f t="shared" si="32"/>
        <v>0</v>
      </c>
      <c r="G245" s="230" t="str">
        <f t="shared" si="33"/>
        <v/>
      </c>
      <c r="H245" s="231" t="str">
        <f t="shared" si="34"/>
        <v/>
      </c>
      <c r="I245" s="228">
        <f t="shared" si="35"/>
        <v>1</v>
      </c>
      <c r="J245" s="228">
        <f t="shared" si="36"/>
        <v>158</v>
      </c>
      <c r="Q245" s="504">
        <f t="shared" ca="1" si="39"/>
        <v>44089</v>
      </c>
    </row>
    <row r="246" spans="2:17">
      <c r="B246" s="226" t="str">
        <f t="shared" si="30"/>
        <v/>
      </c>
      <c r="C246" s="227">
        <f t="shared" si="37"/>
        <v>44045</v>
      </c>
      <c r="D246" s="228">
        <f t="shared" si="38"/>
        <v>7</v>
      </c>
      <c r="E246" s="229">
        <f t="shared" si="31"/>
        <v>44045</v>
      </c>
      <c r="F246" s="228">
        <f t="shared" si="32"/>
        <v>0</v>
      </c>
      <c r="G246" s="230" t="str">
        <f t="shared" si="33"/>
        <v/>
      </c>
      <c r="H246" s="231" t="str">
        <f t="shared" si="34"/>
        <v/>
      </c>
      <c r="I246" s="228">
        <f t="shared" si="35"/>
        <v>1</v>
      </c>
      <c r="J246" s="228">
        <f t="shared" si="36"/>
        <v>158</v>
      </c>
      <c r="Q246" s="504">
        <f t="shared" ca="1" si="39"/>
        <v>44090</v>
      </c>
    </row>
    <row r="247" spans="2:17">
      <c r="B247" s="226" t="str">
        <f t="shared" si="30"/>
        <v/>
      </c>
      <c r="C247" s="227">
        <f t="shared" si="37"/>
        <v>44046</v>
      </c>
      <c r="D247" s="228">
        <f t="shared" si="38"/>
        <v>1</v>
      </c>
      <c r="E247" s="229">
        <f t="shared" si="31"/>
        <v>44046</v>
      </c>
      <c r="F247" s="228">
        <f t="shared" si="32"/>
        <v>0</v>
      </c>
      <c r="G247" s="230" t="str">
        <f t="shared" si="33"/>
        <v/>
      </c>
      <c r="H247" s="231" t="str">
        <f t="shared" si="34"/>
        <v/>
      </c>
      <c r="I247" s="228">
        <f t="shared" si="35"/>
        <v>0</v>
      </c>
      <c r="J247" s="228">
        <f t="shared" si="36"/>
        <v>159</v>
      </c>
      <c r="Q247" s="504">
        <f t="shared" ca="1" si="39"/>
        <v>44091</v>
      </c>
    </row>
    <row r="248" spans="2:17">
      <c r="B248" s="226" t="str">
        <f t="shared" si="30"/>
        <v/>
      </c>
      <c r="C248" s="227">
        <f t="shared" si="37"/>
        <v>44047</v>
      </c>
      <c r="D248" s="228">
        <f t="shared" si="38"/>
        <v>2</v>
      </c>
      <c r="E248" s="229">
        <f t="shared" si="31"/>
        <v>44047</v>
      </c>
      <c r="F248" s="228">
        <f t="shared" si="32"/>
        <v>0</v>
      </c>
      <c r="G248" s="230" t="str">
        <f t="shared" si="33"/>
        <v/>
      </c>
      <c r="H248" s="231" t="str">
        <f t="shared" si="34"/>
        <v/>
      </c>
      <c r="I248" s="228">
        <f t="shared" si="35"/>
        <v>0</v>
      </c>
      <c r="J248" s="228">
        <f t="shared" si="36"/>
        <v>160</v>
      </c>
      <c r="Q248" s="504">
        <f t="shared" ca="1" si="39"/>
        <v>44092</v>
      </c>
    </row>
    <row r="249" spans="2:17">
      <c r="B249" s="226" t="str">
        <f t="shared" si="30"/>
        <v/>
      </c>
      <c r="C249" s="227">
        <f t="shared" si="37"/>
        <v>44048</v>
      </c>
      <c r="D249" s="228">
        <f t="shared" si="38"/>
        <v>3</v>
      </c>
      <c r="E249" s="229">
        <f t="shared" si="31"/>
        <v>44048</v>
      </c>
      <c r="F249" s="228">
        <f t="shared" si="32"/>
        <v>0</v>
      </c>
      <c r="G249" s="230" t="str">
        <f t="shared" si="33"/>
        <v/>
      </c>
      <c r="H249" s="231" t="str">
        <f t="shared" si="34"/>
        <v/>
      </c>
      <c r="I249" s="228">
        <f t="shared" si="35"/>
        <v>0</v>
      </c>
      <c r="J249" s="228">
        <f t="shared" si="36"/>
        <v>161</v>
      </c>
      <c r="Q249" s="504">
        <f t="shared" ca="1" si="39"/>
        <v>44093</v>
      </c>
    </row>
    <row r="250" spans="2:17">
      <c r="B250" s="226" t="str">
        <f t="shared" si="30"/>
        <v/>
      </c>
      <c r="C250" s="227">
        <f t="shared" si="37"/>
        <v>44049</v>
      </c>
      <c r="D250" s="228">
        <f t="shared" si="38"/>
        <v>4</v>
      </c>
      <c r="E250" s="229">
        <f t="shared" si="31"/>
        <v>44049</v>
      </c>
      <c r="F250" s="228">
        <f t="shared" si="32"/>
        <v>0</v>
      </c>
      <c r="G250" s="230" t="str">
        <f t="shared" si="33"/>
        <v/>
      </c>
      <c r="H250" s="231" t="str">
        <f t="shared" si="34"/>
        <v/>
      </c>
      <c r="I250" s="228">
        <f t="shared" si="35"/>
        <v>0</v>
      </c>
      <c r="J250" s="228">
        <f t="shared" si="36"/>
        <v>162</v>
      </c>
      <c r="Q250" s="504">
        <f t="shared" ca="1" si="39"/>
        <v>44094</v>
      </c>
    </row>
    <row r="251" spans="2:17">
      <c r="B251" s="226" t="str">
        <f t="shared" si="30"/>
        <v/>
      </c>
      <c r="C251" s="227">
        <f t="shared" si="37"/>
        <v>44050</v>
      </c>
      <c r="D251" s="228">
        <f t="shared" si="38"/>
        <v>5</v>
      </c>
      <c r="E251" s="229">
        <f t="shared" si="31"/>
        <v>44050</v>
      </c>
      <c r="F251" s="228">
        <f t="shared" si="32"/>
        <v>0</v>
      </c>
      <c r="G251" s="230" t="str">
        <f t="shared" si="33"/>
        <v/>
      </c>
      <c r="H251" s="231" t="str">
        <f t="shared" si="34"/>
        <v/>
      </c>
      <c r="I251" s="228">
        <f t="shared" si="35"/>
        <v>0</v>
      </c>
      <c r="J251" s="228">
        <f t="shared" si="36"/>
        <v>163</v>
      </c>
      <c r="Q251" s="504">
        <f t="shared" ca="1" si="39"/>
        <v>44095</v>
      </c>
    </row>
    <row r="252" spans="2:17">
      <c r="B252" s="226" t="str">
        <f t="shared" si="30"/>
        <v/>
      </c>
      <c r="C252" s="227">
        <f t="shared" si="37"/>
        <v>44051</v>
      </c>
      <c r="D252" s="228">
        <f t="shared" si="38"/>
        <v>6</v>
      </c>
      <c r="E252" s="229">
        <f t="shared" si="31"/>
        <v>44051</v>
      </c>
      <c r="F252" s="228">
        <f t="shared" si="32"/>
        <v>0</v>
      </c>
      <c r="G252" s="230" t="str">
        <f t="shared" si="33"/>
        <v/>
      </c>
      <c r="H252" s="231" t="str">
        <f t="shared" si="34"/>
        <v/>
      </c>
      <c r="I252" s="228">
        <f t="shared" si="35"/>
        <v>1</v>
      </c>
      <c r="J252" s="228">
        <f t="shared" si="36"/>
        <v>163</v>
      </c>
      <c r="Q252" s="504">
        <f t="shared" ca="1" si="39"/>
        <v>44096</v>
      </c>
    </row>
    <row r="253" spans="2:17">
      <c r="B253" s="226" t="str">
        <f t="shared" si="30"/>
        <v/>
      </c>
      <c r="C253" s="227">
        <f t="shared" si="37"/>
        <v>44052</v>
      </c>
      <c r="D253" s="228">
        <f t="shared" si="38"/>
        <v>7</v>
      </c>
      <c r="E253" s="229">
        <f t="shared" si="31"/>
        <v>44052</v>
      </c>
      <c r="F253" s="228">
        <f t="shared" si="32"/>
        <v>0</v>
      </c>
      <c r="G253" s="230" t="str">
        <f t="shared" si="33"/>
        <v/>
      </c>
      <c r="H253" s="231" t="str">
        <f t="shared" si="34"/>
        <v/>
      </c>
      <c r="I253" s="228">
        <f t="shared" si="35"/>
        <v>1</v>
      </c>
      <c r="J253" s="228">
        <f t="shared" si="36"/>
        <v>163</v>
      </c>
      <c r="Q253" s="504">
        <f t="shared" ca="1" si="39"/>
        <v>44097</v>
      </c>
    </row>
    <row r="254" spans="2:17">
      <c r="B254" s="226" t="str">
        <f t="shared" si="30"/>
        <v/>
      </c>
      <c r="C254" s="227">
        <f t="shared" si="37"/>
        <v>44053</v>
      </c>
      <c r="D254" s="228">
        <f t="shared" si="38"/>
        <v>1</v>
      </c>
      <c r="E254" s="229">
        <f t="shared" si="31"/>
        <v>44053</v>
      </c>
      <c r="F254" s="228">
        <f t="shared" si="32"/>
        <v>0</v>
      </c>
      <c r="G254" s="230" t="str">
        <f t="shared" si="33"/>
        <v/>
      </c>
      <c r="H254" s="231" t="str">
        <f t="shared" si="34"/>
        <v/>
      </c>
      <c r="I254" s="228">
        <f t="shared" si="35"/>
        <v>0</v>
      </c>
      <c r="J254" s="228">
        <f t="shared" si="36"/>
        <v>164</v>
      </c>
      <c r="Q254" s="504">
        <f t="shared" ca="1" si="39"/>
        <v>44098</v>
      </c>
    </row>
    <row r="255" spans="2:17">
      <c r="B255" s="226" t="str">
        <f t="shared" si="30"/>
        <v/>
      </c>
      <c r="C255" s="227">
        <f t="shared" si="37"/>
        <v>44054</v>
      </c>
      <c r="D255" s="228">
        <f t="shared" si="38"/>
        <v>2</v>
      </c>
      <c r="E255" s="229">
        <f t="shared" si="31"/>
        <v>44054</v>
      </c>
      <c r="F255" s="228">
        <f t="shared" si="32"/>
        <v>0</v>
      </c>
      <c r="G255" s="230" t="str">
        <f t="shared" si="33"/>
        <v/>
      </c>
      <c r="H255" s="231" t="str">
        <f t="shared" si="34"/>
        <v/>
      </c>
      <c r="I255" s="228">
        <f t="shared" si="35"/>
        <v>0</v>
      </c>
      <c r="J255" s="228">
        <f t="shared" si="36"/>
        <v>165</v>
      </c>
      <c r="Q255" s="504">
        <f t="shared" ca="1" si="39"/>
        <v>44099</v>
      </c>
    </row>
    <row r="256" spans="2:17">
      <c r="B256" s="226" t="str">
        <f t="shared" si="30"/>
        <v/>
      </c>
      <c r="C256" s="227">
        <f t="shared" si="37"/>
        <v>44055</v>
      </c>
      <c r="D256" s="228">
        <f t="shared" si="38"/>
        <v>3</v>
      </c>
      <c r="E256" s="229">
        <f t="shared" si="31"/>
        <v>44055</v>
      </c>
      <c r="F256" s="228">
        <f t="shared" si="32"/>
        <v>0</v>
      </c>
      <c r="G256" s="230" t="str">
        <f t="shared" si="33"/>
        <v/>
      </c>
      <c r="H256" s="231" t="str">
        <f t="shared" si="34"/>
        <v/>
      </c>
      <c r="I256" s="228">
        <f t="shared" si="35"/>
        <v>0</v>
      </c>
      <c r="J256" s="228">
        <f t="shared" si="36"/>
        <v>166</v>
      </c>
      <c r="Q256" s="504">
        <f t="shared" ca="1" si="39"/>
        <v>44100</v>
      </c>
    </row>
    <row r="257" spans="2:17">
      <c r="B257" s="226" t="str">
        <f t="shared" si="30"/>
        <v/>
      </c>
      <c r="C257" s="227">
        <f t="shared" si="37"/>
        <v>44056</v>
      </c>
      <c r="D257" s="228">
        <f t="shared" si="38"/>
        <v>4</v>
      </c>
      <c r="E257" s="229">
        <f t="shared" si="31"/>
        <v>44056</v>
      </c>
      <c r="F257" s="228">
        <f t="shared" si="32"/>
        <v>0</v>
      </c>
      <c r="G257" s="230" t="str">
        <f t="shared" si="33"/>
        <v/>
      </c>
      <c r="H257" s="231" t="str">
        <f t="shared" si="34"/>
        <v/>
      </c>
      <c r="I257" s="228">
        <f t="shared" si="35"/>
        <v>0</v>
      </c>
      <c r="J257" s="228">
        <f t="shared" si="36"/>
        <v>167</v>
      </c>
      <c r="Q257" s="504">
        <f t="shared" ca="1" si="39"/>
        <v>44101</v>
      </c>
    </row>
    <row r="258" spans="2:17">
      <c r="B258" s="226" t="str">
        <f t="shared" si="30"/>
        <v/>
      </c>
      <c r="C258" s="227">
        <f t="shared" si="37"/>
        <v>44057</v>
      </c>
      <c r="D258" s="228">
        <f t="shared" si="38"/>
        <v>5</v>
      </c>
      <c r="E258" s="229">
        <f t="shared" si="31"/>
        <v>44057</v>
      </c>
      <c r="F258" s="228">
        <f t="shared" si="32"/>
        <v>0</v>
      </c>
      <c r="G258" s="230" t="str">
        <f t="shared" si="33"/>
        <v/>
      </c>
      <c r="H258" s="231" t="str">
        <f t="shared" si="34"/>
        <v/>
      </c>
      <c r="I258" s="228">
        <f t="shared" si="35"/>
        <v>0</v>
      </c>
      <c r="J258" s="228">
        <f t="shared" si="36"/>
        <v>168</v>
      </c>
      <c r="Q258" s="504">
        <f t="shared" ca="1" si="39"/>
        <v>44102</v>
      </c>
    </row>
    <row r="259" spans="2:17">
      <c r="B259" s="226" t="str">
        <f t="shared" si="30"/>
        <v/>
      </c>
      <c r="C259" s="227">
        <f t="shared" si="37"/>
        <v>44058</v>
      </c>
      <c r="D259" s="228">
        <f t="shared" si="38"/>
        <v>6</v>
      </c>
      <c r="E259" s="229">
        <f t="shared" si="31"/>
        <v>44058</v>
      </c>
      <c r="F259" s="228">
        <f t="shared" si="32"/>
        <v>0</v>
      </c>
      <c r="G259" s="230" t="str">
        <f t="shared" si="33"/>
        <v/>
      </c>
      <c r="H259" s="231" t="str">
        <f t="shared" si="34"/>
        <v/>
      </c>
      <c r="I259" s="228">
        <f t="shared" si="35"/>
        <v>1</v>
      </c>
      <c r="J259" s="228">
        <f t="shared" si="36"/>
        <v>168</v>
      </c>
      <c r="Q259" s="504">
        <f t="shared" ca="1" si="39"/>
        <v>44103</v>
      </c>
    </row>
    <row r="260" spans="2:17">
      <c r="B260" s="226" t="str">
        <f t="shared" si="30"/>
        <v/>
      </c>
      <c r="C260" s="227">
        <f t="shared" si="37"/>
        <v>44059</v>
      </c>
      <c r="D260" s="228">
        <f t="shared" si="38"/>
        <v>7</v>
      </c>
      <c r="E260" s="229">
        <f t="shared" si="31"/>
        <v>44059</v>
      </c>
      <c r="F260" s="228">
        <f t="shared" si="32"/>
        <v>0</v>
      </c>
      <c r="G260" s="230" t="str">
        <f t="shared" si="33"/>
        <v/>
      </c>
      <c r="H260" s="231" t="str">
        <f t="shared" si="34"/>
        <v/>
      </c>
      <c r="I260" s="228">
        <f t="shared" si="35"/>
        <v>1</v>
      </c>
      <c r="J260" s="228">
        <f t="shared" si="36"/>
        <v>168</v>
      </c>
      <c r="Q260" s="504">
        <f t="shared" ca="1" si="39"/>
        <v>44104</v>
      </c>
    </row>
    <row r="261" spans="2:17">
      <c r="B261" s="226" t="str">
        <f t="shared" si="30"/>
        <v/>
      </c>
      <c r="C261" s="227">
        <f t="shared" si="37"/>
        <v>44060</v>
      </c>
      <c r="D261" s="228">
        <f t="shared" si="38"/>
        <v>1</v>
      </c>
      <c r="E261" s="229">
        <f t="shared" si="31"/>
        <v>44060</v>
      </c>
      <c r="F261" s="228">
        <f t="shared" si="32"/>
        <v>0</v>
      </c>
      <c r="G261" s="230" t="str">
        <f t="shared" si="33"/>
        <v/>
      </c>
      <c r="H261" s="231" t="str">
        <f t="shared" si="34"/>
        <v/>
      </c>
      <c r="I261" s="228">
        <f t="shared" si="35"/>
        <v>0</v>
      </c>
      <c r="J261" s="228">
        <f t="shared" si="36"/>
        <v>169</v>
      </c>
      <c r="Q261" s="504">
        <f t="shared" ca="1" si="39"/>
        <v>44105</v>
      </c>
    </row>
    <row r="262" spans="2:17">
      <c r="B262" s="226" t="str">
        <f t="shared" si="30"/>
        <v/>
      </c>
      <c r="C262" s="227">
        <f t="shared" si="37"/>
        <v>44061</v>
      </c>
      <c r="D262" s="228">
        <f t="shared" si="38"/>
        <v>2</v>
      </c>
      <c r="E262" s="229">
        <f t="shared" si="31"/>
        <v>44061</v>
      </c>
      <c r="F262" s="228">
        <f t="shared" si="32"/>
        <v>0</v>
      </c>
      <c r="G262" s="230" t="str">
        <f t="shared" si="33"/>
        <v/>
      </c>
      <c r="H262" s="231" t="str">
        <f t="shared" si="34"/>
        <v/>
      </c>
      <c r="I262" s="228">
        <f t="shared" si="35"/>
        <v>0</v>
      </c>
      <c r="J262" s="228">
        <f t="shared" si="36"/>
        <v>170</v>
      </c>
      <c r="Q262" s="504">
        <f t="shared" ca="1" si="39"/>
        <v>44106</v>
      </c>
    </row>
    <row r="263" spans="2:17">
      <c r="B263" s="226" t="str">
        <f t="shared" si="30"/>
        <v/>
      </c>
      <c r="C263" s="227">
        <f t="shared" si="37"/>
        <v>44062</v>
      </c>
      <c r="D263" s="228">
        <f t="shared" si="38"/>
        <v>3</v>
      </c>
      <c r="E263" s="229">
        <f t="shared" si="31"/>
        <v>44062</v>
      </c>
      <c r="F263" s="228">
        <f t="shared" si="32"/>
        <v>0</v>
      </c>
      <c r="G263" s="230" t="str">
        <f t="shared" si="33"/>
        <v/>
      </c>
      <c r="H263" s="231" t="str">
        <f t="shared" si="34"/>
        <v/>
      </c>
      <c r="I263" s="228">
        <f t="shared" si="35"/>
        <v>0</v>
      </c>
      <c r="J263" s="228">
        <f t="shared" si="36"/>
        <v>171</v>
      </c>
      <c r="Q263" s="504">
        <f t="shared" ca="1" si="39"/>
        <v>44107</v>
      </c>
    </row>
    <row r="264" spans="2:17">
      <c r="B264" s="226" t="str">
        <f t="shared" si="30"/>
        <v/>
      </c>
      <c r="C264" s="227">
        <f t="shared" si="37"/>
        <v>44063</v>
      </c>
      <c r="D264" s="228">
        <f t="shared" si="38"/>
        <v>4</v>
      </c>
      <c r="E264" s="229">
        <f t="shared" si="31"/>
        <v>44063</v>
      </c>
      <c r="F264" s="228">
        <f t="shared" si="32"/>
        <v>0</v>
      </c>
      <c r="G264" s="230" t="str">
        <f t="shared" si="33"/>
        <v/>
      </c>
      <c r="H264" s="231" t="str">
        <f t="shared" si="34"/>
        <v/>
      </c>
      <c r="I264" s="228">
        <f t="shared" si="35"/>
        <v>0</v>
      </c>
      <c r="J264" s="228">
        <f t="shared" si="36"/>
        <v>172</v>
      </c>
      <c r="Q264" s="504">
        <f t="shared" ca="1" si="39"/>
        <v>44108</v>
      </c>
    </row>
    <row r="265" spans="2:17">
      <c r="B265" s="226" t="str">
        <f t="shared" si="30"/>
        <v/>
      </c>
      <c r="C265" s="227">
        <f t="shared" si="37"/>
        <v>44064</v>
      </c>
      <c r="D265" s="228">
        <f t="shared" si="38"/>
        <v>5</v>
      </c>
      <c r="E265" s="229">
        <f t="shared" si="31"/>
        <v>44064</v>
      </c>
      <c r="F265" s="228">
        <f t="shared" si="32"/>
        <v>0</v>
      </c>
      <c r="G265" s="230" t="str">
        <f t="shared" si="33"/>
        <v/>
      </c>
      <c r="H265" s="231" t="str">
        <f t="shared" si="34"/>
        <v/>
      </c>
      <c r="I265" s="228">
        <f t="shared" si="35"/>
        <v>0</v>
      </c>
      <c r="J265" s="228">
        <f t="shared" si="36"/>
        <v>173</v>
      </c>
      <c r="Q265" s="504">
        <f t="shared" ca="1" si="39"/>
        <v>44109</v>
      </c>
    </row>
    <row r="266" spans="2:17">
      <c r="B266" s="226" t="str">
        <f t="shared" si="30"/>
        <v/>
      </c>
      <c r="C266" s="227">
        <f t="shared" si="37"/>
        <v>44065</v>
      </c>
      <c r="D266" s="228">
        <f t="shared" si="38"/>
        <v>6</v>
      </c>
      <c r="E266" s="229">
        <f t="shared" si="31"/>
        <v>44065</v>
      </c>
      <c r="F266" s="228">
        <f t="shared" si="32"/>
        <v>0</v>
      </c>
      <c r="G266" s="230" t="str">
        <f t="shared" si="33"/>
        <v/>
      </c>
      <c r="H266" s="231" t="str">
        <f t="shared" si="34"/>
        <v/>
      </c>
      <c r="I266" s="228">
        <f t="shared" si="35"/>
        <v>1</v>
      </c>
      <c r="J266" s="228">
        <f t="shared" si="36"/>
        <v>173</v>
      </c>
      <c r="Q266" s="504">
        <f t="shared" ca="1" si="39"/>
        <v>44110</v>
      </c>
    </row>
    <row r="267" spans="2:17">
      <c r="B267" s="226" t="str">
        <f t="shared" si="30"/>
        <v/>
      </c>
      <c r="C267" s="227">
        <f t="shared" si="37"/>
        <v>44066</v>
      </c>
      <c r="D267" s="228">
        <f t="shared" si="38"/>
        <v>7</v>
      </c>
      <c r="E267" s="229">
        <f t="shared" si="31"/>
        <v>44066</v>
      </c>
      <c r="F267" s="228">
        <f t="shared" si="32"/>
        <v>0</v>
      </c>
      <c r="G267" s="230" t="str">
        <f t="shared" si="33"/>
        <v/>
      </c>
      <c r="H267" s="231" t="str">
        <f t="shared" si="34"/>
        <v/>
      </c>
      <c r="I267" s="228">
        <f t="shared" si="35"/>
        <v>1</v>
      </c>
      <c r="J267" s="228">
        <f t="shared" si="36"/>
        <v>173</v>
      </c>
      <c r="Q267" s="504">
        <f t="shared" ca="1" si="39"/>
        <v>44111</v>
      </c>
    </row>
    <row r="268" spans="2:17">
      <c r="B268" s="226" t="str">
        <f t="shared" si="30"/>
        <v/>
      </c>
      <c r="C268" s="227">
        <f t="shared" si="37"/>
        <v>44067</v>
      </c>
      <c r="D268" s="228">
        <f t="shared" si="38"/>
        <v>1</v>
      </c>
      <c r="E268" s="229">
        <f t="shared" si="31"/>
        <v>44067</v>
      </c>
      <c r="F268" s="228">
        <f t="shared" si="32"/>
        <v>0</v>
      </c>
      <c r="G268" s="230" t="str">
        <f t="shared" si="33"/>
        <v/>
      </c>
      <c r="H268" s="231" t="str">
        <f t="shared" si="34"/>
        <v/>
      </c>
      <c r="I268" s="228">
        <f t="shared" si="35"/>
        <v>0</v>
      </c>
      <c r="J268" s="228">
        <f t="shared" si="36"/>
        <v>174</v>
      </c>
      <c r="Q268" s="504">
        <f t="shared" ca="1" si="39"/>
        <v>44112</v>
      </c>
    </row>
    <row r="269" spans="2:17">
      <c r="B269" s="226" t="str">
        <f t="shared" si="30"/>
        <v/>
      </c>
      <c r="C269" s="227">
        <f t="shared" si="37"/>
        <v>44068</v>
      </c>
      <c r="D269" s="228">
        <f t="shared" si="38"/>
        <v>2</v>
      </c>
      <c r="E269" s="229">
        <f t="shared" si="31"/>
        <v>44068</v>
      </c>
      <c r="F269" s="228">
        <f t="shared" si="32"/>
        <v>0</v>
      </c>
      <c r="G269" s="230" t="str">
        <f t="shared" si="33"/>
        <v/>
      </c>
      <c r="H269" s="231" t="str">
        <f t="shared" si="34"/>
        <v/>
      </c>
      <c r="I269" s="228">
        <f t="shared" si="35"/>
        <v>0</v>
      </c>
      <c r="J269" s="228">
        <f t="shared" si="36"/>
        <v>175</v>
      </c>
      <c r="Q269" s="504">
        <f t="shared" ca="1" si="39"/>
        <v>44113</v>
      </c>
    </row>
    <row r="270" spans="2:17">
      <c r="B270" s="226" t="str">
        <f t="shared" ref="B270:B333" si="40">IF(J270=$C$4,"Til","")</f>
        <v/>
      </c>
      <c r="C270" s="227">
        <f t="shared" si="37"/>
        <v>44069</v>
      </c>
      <c r="D270" s="228">
        <f t="shared" si="38"/>
        <v>3</v>
      </c>
      <c r="E270" s="229">
        <f t="shared" ref="E270:E333" si="41">C270</f>
        <v>44069</v>
      </c>
      <c r="F270" s="228">
        <f t="shared" ref="F270:F333" si="42">IF(C270="","",IFERROR(MATCH(C270,INDEX(caHellig,,2),0),0))</f>
        <v>0</v>
      </c>
      <c r="G270" s="230" t="str">
        <f t="shared" ref="G270:G333" si="43">IF(C270="","",IF(F270&gt;0,INDEX(caHellig,F270,2),""))</f>
        <v/>
      </c>
      <c r="H270" s="231" t="str">
        <f t="shared" ref="H270:H333" si="44">IF(C270="","",IF(F270&gt;0,INDEX(caHellig,F270,1),""))</f>
        <v/>
      </c>
      <c r="I270" s="228">
        <f t="shared" ref="I270:I333" si="45">IF(C270="","",IF(OR(D270&gt;5,F270,0),1,0))</f>
        <v>0</v>
      </c>
      <c r="J270" s="228">
        <f t="shared" ref="J270:J333" si="46">IF(C270="","",IF(I270=0,J269+1,J269))</f>
        <v>176</v>
      </c>
      <c r="Q270" s="504">
        <f t="shared" ca="1" si="39"/>
        <v>44114</v>
      </c>
    </row>
    <row r="271" spans="2:17">
      <c r="B271" s="226" t="str">
        <f t="shared" si="40"/>
        <v/>
      </c>
      <c r="C271" s="227">
        <f t="shared" ref="C271:C334" si="47">C270+1</f>
        <v>44070</v>
      </c>
      <c r="D271" s="228">
        <f t="shared" ref="D271:D334" si="48">IF(C271&lt;&gt;"",WEEKDAY(C271,2),"")</f>
        <v>4</v>
      </c>
      <c r="E271" s="229">
        <f t="shared" si="41"/>
        <v>44070</v>
      </c>
      <c r="F271" s="228">
        <f t="shared" si="42"/>
        <v>0</v>
      </c>
      <c r="G271" s="230" t="str">
        <f t="shared" si="43"/>
        <v/>
      </c>
      <c r="H271" s="231" t="str">
        <f t="shared" si="44"/>
        <v/>
      </c>
      <c r="I271" s="228">
        <f t="shared" si="45"/>
        <v>0</v>
      </c>
      <c r="J271" s="228">
        <f t="shared" si="46"/>
        <v>177</v>
      </c>
      <c r="Q271" s="504">
        <f t="shared" ref="Q271:Q334" ca="1" si="49">Q270+1</f>
        <v>44115</v>
      </c>
    </row>
    <row r="272" spans="2:17">
      <c r="B272" s="226" t="str">
        <f t="shared" si="40"/>
        <v/>
      </c>
      <c r="C272" s="227">
        <f t="shared" si="47"/>
        <v>44071</v>
      </c>
      <c r="D272" s="228">
        <f t="shared" si="48"/>
        <v>5</v>
      </c>
      <c r="E272" s="229">
        <f t="shared" si="41"/>
        <v>44071</v>
      </c>
      <c r="F272" s="228">
        <f t="shared" si="42"/>
        <v>0</v>
      </c>
      <c r="G272" s="230" t="str">
        <f t="shared" si="43"/>
        <v/>
      </c>
      <c r="H272" s="231" t="str">
        <f t="shared" si="44"/>
        <v/>
      </c>
      <c r="I272" s="228">
        <f t="shared" si="45"/>
        <v>0</v>
      </c>
      <c r="J272" s="228">
        <f t="shared" si="46"/>
        <v>178</v>
      </c>
      <c r="Q272" s="504">
        <f t="shared" ca="1" si="49"/>
        <v>44116</v>
      </c>
    </row>
    <row r="273" spans="2:17">
      <c r="B273" s="226" t="str">
        <f t="shared" si="40"/>
        <v/>
      </c>
      <c r="C273" s="227">
        <f t="shared" si="47"/>
        <v>44072</v>
      </c>
      <c r="D273" s="228">
        <f t="shared" si="48"/>
        <v>6</v>
      </c>
      <c r="E273" s="229">
        <f t="shared" si="41"/>
        <v>44072</v>
      </c>
      <c r="F273" s="228">
        <f t="shared" si="42"/>
        <v>0</v>
      </c>
      <c r="G273" s="230" t="str">
        <f t="shared" si="43"/>
        <v/>
      </c>
      <c r="H273" s="231" t="str">
        <f t="shared" si="44"/>
        <v/>
      </c>
      <c r="I273" s="228">
        <f t="shared" si="45"/>
        <v>1</v>
      </c>
      <c r="J273" s="228">
        <f t="shared" si="46"/>
        <v>178</v>
      </c>
      <c r="Q273" s="504">
        <f t="shared" ca="1" si="49"/>
        <v>44117</v>
      </c>
    </row>
    <row r="274" spans="2:17">
      <c r="B274" s="226" t="str">
        <f t="shared" si="40"/>
        <v/>
      </c>
      <c r="C274" s="227">
        <f t="shared" si="47"/>
        <v>44073</v>
      </c>
      <c r="D274" s="228">
        <f t="shared" si="48"/>
        <v>7</v>
      </c>
      <c r="E274" s="229">
        <f t="shared" si="41"/>
        <v>44073</v>
      </c>
      <c r="F274" s="228">
        <f t="shared" si="42"/>
        <v>0</v>
      </c>
      <c r="G274" s="230" t="str">
        <f t="shared" si="43"/>
        <v/>
      </c>
      <c r="H274" s="231" t="str">
        <f t="shared" si="44"/>
        <v/>
      </c>
      <c r="I274" s="228">
        <f t="shared" si="45"/>
        <v>1</v>
      </c>
      <c r="J274" s="228">
        <f t="shared" si="46"/>
        <v>178</v>
      </c>
      <c r="Q274" s="504">
        <f t="shared" ca="1" si="49"/>
        <v>44118</v>
      </c>
    </row>
    <row r="275" spans="2:17">
      <c r="B275" s="226" t="str">
        <f t="shared" si="40"/>
        <v/>
      </c>
      <c r="C275" s="227">
        <f t="shared" si="47"/>
        <v>44074</v>
      </c>
      <c r="D275" s="228">
        <f t="shared" si="48"/>
        <v>1</v>
      </c>
      <c r="E275" s="229">
        <f t="shared" si="41"/>
        <v>44074</v>
      </c>
      <c r="F275" s="228">
        <f t="shared" si="42"/>
        <v>0</v>
      </c>
      <c r="G275" s="230" t="str">
        <f t="shared" si="43"/>
        <v/>
      </c>
      <c r="H275" s="231" t="str">
        <f t="shared" si="44"/>
        <v/>
      </c>
      <c r="I275" s="228">
        <f t="shared" si="45"/>
        <v>0</v>
      </c>
      <c r="J275" s="228">
        <f t="shared" si="46"/>
        <v>179</v>
      </c>
      <c r="Q275" s="504">
        <f t="shared" ca="1" si="49"/>
        <v>44119</v>
      </c>
    </row>
    <row r="276" spans="2:17">
      <c r="B276" s="226" t="str">
        <f t="shared" si="40"/>
        <v/>
      </c>
      <c r="C276" s="227">
        <f t="shared" si="47"/>
        <v>44075</v>
      </c>
      <c r="D276" s="228">
        <f t="shared" si="48"/>
        <v>2</v>
      </c>
      <c r="E276" s="229">
        <f t="shared" si="41"/>
        <v>44075</v>
      </c>
      <c r="F276" s="228">
        <f t="shared" si="42"/>
        <v>0</v>
      </c>
      <c r="G276" s="230" t="str">
        <f t="shared" si="43"/>
        <v/>
      </c>
      <c r="H276" s="231" t="str">
        <f t="shared" si="44"/>
        <v/>
      </c>
      <c r="I276" s="228">
        <f t="shared" si="45"/>
        <v>0</v>
      </c>
      <c r="J276" s="228">
        <f t="shared" si="46"/>
        <v>180</v>
      </c>
      <c r="Q276" s="504">
        <f t="shared" ca="1" si="49"/>
        <v>44120</v>
      </c>
    </row>
    <row r="277" spans="2:17">
      <c r="B277" s="226" t="str">
        <f t="shared" si="40"/>
        <v/>
      </c>
      <c r="C277" s="227">
        <f t="shared" si="47"/>
        <v>44076</v>
      </c>
      <c r="D277" s="228">
        <f t="shared" si="48"/>
        <v>3</v>
      </c>
      <c r="E277" s="229">
        <f t="shared" si="41"/>
        <v>44076</v>
      </c>
      <c r="F277" s="228">
        <f t="shared" si="42"/>
        <v>0</v>
      </c>
      <c r="G277" s="230" t="str">
        <f t="shared" si="43"/>
        <v/>
      </c>
      <c r="H277" s="231" t="str">
        <f t="shared" si="44"/>
        <v/>
      </c>
      <c r="I277" s="228">
        <f t="shared" si="45"/>
        <v>0</v>
      </c>
      <c r="J277" s="228">
        <f t="shared" si="46"/>
        <v>181</v>
      </c>
      <c r="Q277" s="504">
        <f t="shared" ca="1" si="49"/>
        <v>44121</v>
      </c>
    </row>
    <row r="278" spans="2:17">
      <c r="B278" s="226" t="str">
        <f t="shared" si="40"/>
        <v/>
      </c>
      <c r="C278" s="227">
        <f t="shared" si="47"/>
        <v>44077</v>
      </c>
      <c r="D278" s="228">
        <f t="shared" si="48"/>
        <v>4</v>
      </c>
      <c r="E278" s="229">
        <f t="shared" si="41"/>
        <v>44077</v>
      </c>
      <c r="F278" s="228">
        <f t="shared" si="42"/>
        <v>0</v>
      </c>
      <c r="G278" s="230" t="str">
        <f t="shared" si="43"/>
        <v/>
      </c>
      <c r="H278" s="231" t="str">
        <f t="shared" si="44"/>
        <v/>
      </c>
      <c r="I278" s="228">
        <f t="shared" si="45"/>
        <v>0</v>
      </c>
      <c r="J278" s="228">
        <f t="shared" si="46"/>
        <v>182</v>
      </c>
      <c r="Q278" s="504">
        <f t="shared" ca="1" si="49"/>
        <v>44122</v>
      </c>
    </row>
    <row r="279" spans="2:17">
      <c r="B279" s="226" t="str">
        <f t="shared" si="40"/>
        <v/>
      </c>
      <c r="C279" s="227">
        <f t="shared" si="47"/>
        <v>44078</v>
      </c>
      <c r="D279" s="228">
        <f t="shared" si="48"/>
        <v>5</v>
      </c>
      <c r="E279" s="229">
        <f t="shared" si="41"/>
        <v>44078</v>
      </c>
      <c r="F279" s="228">
        <f t="shared" si="42"/>
        <v>0</v>
      </c>
      <c r="G279" s="230" t="str">
        <f t="shared" si="43"/>
        <v/>
      </c>
      <c r="H279" s="231" t="str">
        <f t="shared" si="44"/>
        <v/>
      </c>
      <c r="I279" s="228">
        <f t="shared" si="45"/>
        <v>0</v>
      </c>
      <c r="J279" s="228">
        <f t="shared" si="46"/>
        <v>183</v>
      </c>
      <c r="Q279" s="504">
        <f t="shared" ca="1" si="49"/>
        <v>44123</v>
      </c>
    </row>
    <row r="280" spans="2:17">
      <c r="B280" s="226" t="str">
        <f t="shared" si="40"/>
        <v/>
      </c>
      <c r="C280" s="227">
        <f t="shared" si="47"/>
        <v>44079</v>
      </c>
      <c r="D280" s="228">
        <f t="shared" si="48"/>
        <v>6</v>
      </c>
      <c r="E280" s="229">
        <f t="shared" si="41"/>
        <v>44079</v>
      </c>
      <c r="F280" s="228">
        <f t="shared" si="42"/>
        <v>0</v>
      </c>
      <c r="G280" s="230" t="str">
        <f t="shared" si="43"/>
        <v/>
      </c>
      <c r="H280" s="231" t="str">
        <f t="shared" si="44"/>
        <v/>
      </c>
      <c r="I280" s="228">
        <f t="shared" si="45"/>
        <v>1</v>
      </c>
      <c r="J280" s="228">
        <f t="shared" si="46"/>
        <v>183</v>
      </c>
      <c r="Q280" s="504">
        <f t="shared" ca="1" si="49"/>
        <v>44124</v>
      </c>
    </row>
    <row r="281" spans="2:17">
      <c r="B281" s="226" t="str">
        <f t="shared" si="40"/>
        <v/>
      </c>
      <c r="C281" s="227">
        <f t="shared" si="47"/>
        <v>44080</v>
      </c>
      <c r="D281" s="228">
        <f t="shared" si="48"/>
        <v>7</v>
      </c>
      <c r="E281" s="229">
        <f t="shared" si="41"/>
        <v>44080</v>
      </c>
      <c r="F281" s="228">
        <f t="shared" si="42"/>
        <v>0</v>
      </c>
      <c r="G281" s="230" t="str">
        <f t="shared" si="43"/>
        <v/>
      </c>
      <c r="H281" s="231" t="str">
        <f t="shared" si="44"/>
        <v/>
      </c>
      <c r="I281" s="228">
        <f t="shared" si="45"/>
        <v>1</v>
      </c>
      <c r="J281" s="228">
        <f t="shared" si="46"/>
        <v>183</v>
      </c>
      <c r="Q281" s="504">
        <f t="shared" ca="1" si="49"/>
        <v>44125</v>
      </c>
    </row>
    <row r="282" spans="2:17">
      <c r="B282" s="226" t="str">
        <f t="shared" si="40"/>
        <v/>
      </c>
      <c r="C282" s="227">
        <f t="shared" si="47"/>
        <v>44081</v>
      </c>
      <c r="D282" s="228">
        <f t="shared" si="48"/>
        <v>1</v>
      </c>
      <c r="E282" s="229">
        <f t="shared" si="41"/>
        <v>44081</v>
      </c>
      <c r="F282" s="228">
        <f t="shared" si="42"/>
        <v>0</v>
      </c>
      <c r="G282" s="230" t="str">
        <f t="shared" si="43"/>
        <v/>
      </c>
      <c r="H282" s="231" t="str">
        <f t="shared" si="44"/>
        <v/>
      </c>
      <c r="I282" s="228">
        <f t="shared" si="45"/>
        <v>0</v>
      </c>
      <c r="J282" s="228">
        <f t="shared" si="46"/>
        <v>184</v>
      </c>
      <c r="Q282" s="504">
        <f t="shared" ca="1" si="49"/>
        <v>44126</v>
      </c>
    </row>
    <row r="283" spans="2:17">
      <c r="B283" s="226" t="str">
        <f t="shared" si="40"/>
        <v/>
      </c>
      <c r="C283" s="227">
        <f t="shared" si="47"/>
        <v>44082</v>
      </c>
      <c r="D283" s="228">
        <f t="shared" si="48"/>
        <v>2</v>
      </c>
      <c r="E283" s="229">
        <f t="shared" si="41"/>
        <v>44082</v>
      </c>
      <c r="F283" s="228">
        <f t="shared" si="42"/>
        <v>0</v>
      </c>
      <c r="G283" s="230" t="str">
        <f t="shared" si="43"/>
        <v/>
      </c>
      <c r="H283" s="231" t="str">
        <f t="shared" si="44"/>
        <v/>
      </c>
      <c r="I283" s="228">
        <f t="shared" si="45"/>
        <v>0</v>
      </c>
      <c r="J283" s="228">
        <f t="shared" si="46"/>
        <v>185</v>
      </c>
      <c r="Q283" s="504">
        <f t="shared" ca="1" si="49"/>
        <v>44127</v>
      </c>
    </row>
    <row r="284" spans="2:17">
      <c r="B284" s="226" t="str">
        <f t="shared" si="40"/>
        <v/>
      </c>
      <c r="C284" s="227">
        <f t="shared" si="47"/>
        <v>44083</v>
      </c>
      <c r="D284" s="228">
        <f t="shared" si="48"/>
        <v>3</v>
      </c>
      <c r="E284" s="229">
        <f t="shared" si="41"/>
        <v>44083</v>
      </c>
      <c r="F284" s="228">
        <f t="shared" si="42"/>
        <v>0</v>
      </c>
      <c r="G284" s="230" t="str">
        <f t="shared" si="43"/>
        <v/>
      </c>
      <c r="H284" s="231" t="str">
        <f t="shared" si="44"/>
        <v/>
      </c>
      <c r="I284" s="228">
        <f t="shared" si="45"/>
        <v>0</v>
      </c>
      <c r="J284" s="228">
        <f t="shared" si="46"/>
        <v>186</v>
      </c>
      <c r="Q284" s="504">
        <f t="shared" ca="1" si="49"/>
        <v>44128</v>
      </c>
    </row>
    <row r="285" spans="2:17">
      <c r="B285" s="226" t="str">
        <f t="shared" si="40"/>
        <v/>
      </c>
      <c r="C285" s="227">
        <f t="shared" si="47"/>
        <v>44084</v>
      </c>
      <c r="D285" s="228">
        <f t="shared" si="48"/>
        <v>4</v>
      </c>
      <c r="E285" s="229">
        <f t="shared" si="41"/>
        <v>44084</v>
      </c>
      <c r="F285" s="228">
        <f t="shared" si="42"/>
        <v>0</v>
      </c>
      <c r="G285" s="230" t="str">
        <f t="shared" si="43"/>
        <v/>
      </c>
      <c r="H285" s="231" t="str">
        <f t="shared" si="44"/>
        <v/>
      </c>
      <c r="I285" s="228">
        <f t="shared" si="45"/>
        <v>0</v>
      </c>
      <c r="J285" s="228">
        <f t="shared" si="46"/>
        <v>187</v>
      </c>
      <c r="Q285" s="504">
        <f t="shared" ca="1" si="49"/>
        <v>44129</v>
      </c>
    </row>
    <row r="286" spans="2:17">
      <c r="B286" s="226" t="str">
        <f t="shared" si="40"/>
        <v/>
      </c>
      <c r="C286" s="227">
        <f t="shared" si="47"/>
        <v>44085</v>
      </c>
      <c r="D286" s="228">
        <f t="shared" si="48"/>
        <v>5</v>
      </c>
      <c r="E286" s="229">
        <f t="shared" si="41"/>
        <v>44085</v>
      </c>
      <c r="F286" s="228">
        <f t="shared" si="42"/>
        <v>0</v>
      </c>
      <c r="G286" s="230" t="str">
        <f t="shared" si="43"/>
        <v/>
      </c>
      <c r="H286" s="231" t="str">
        <f t="shared" si="44"/>
        <v/>
      </c>
      <c r="I286" s="228">
        <f t="shared" si="45"/>
        <v>0</v>
      </c>
      <c r="J286" s="228">
        <f t="shared" si="46"/>
        <v>188</v>
      </c>
      <c r="Q286" s="504">
        <f t="shared" ca="1" si="49"/>
        <v>44130</v>
      </c>
    </row>
    <row r="287" spans="2:17">
      <c r="B287" s="226" t="str">
        <f t="shared" si="40"/>
        <v/>
      </c>
      <c r="C287" s="227">
        <f t="shared" si="47"/>
        <v>44086</v>
      </c>
      <c r="D287" s="228">
        <f t="shared" si="48"/>
        <v>6</v>
      </c>
      <c r="E287" s="229">
        <f t="shared" si="41"/>
        <v>44086</v>
      </c>
      <c r="F287" s="228">
        <f t="shared" si="42"/>
        <v>0</v>
      </c>
      <c r="G287" s="230" t="str">
        <f t="shared" si="43"/>
        <v/>
      </c>
      <c r="H287" s="231" t="str">
        <f t="shared" si="44"/>
        <v/>
      </c>
      <c r="I287" s="228">
        <f t="shared" si="45"/>
        <v>1</v>
      </c>
      <c r="J287" s="228">
        <f t="shared" si="46"/>
        <v>188</v>
      </c>
      <c r="Q287" s="504">
        <f t="shared" ca="1" si="49"/>
        <v>44131</v>
      </c>
    </row>
    <row r="288" spans="2:17">
      <c r="B288" s="226" t="str">
        <f t="shared" si="40"/>
        <v/>
      </c>
      <c r="C288" s="227">
        <f t="shared" si="47"/>
        <v>44087</v>
      </c>
      <c r="D288" s="228">
        <f t="shared" si="48"/>
        <v>7</v>
      </c>
      <c r="E288" s="229">
        <f t="shared" si="41"/>
        <v>44087</v>
      </c>
      <c r="F288" s="228">
        <f t="shared" si="42"/>
        <v>0</v>
      </c>
      <c r="G288" s="230" t="str">
        <f t="shared" si="43"/>
        <v/>
      </c>
      <c r="H288" s="231" t="str">
        <f t="shared" si="44"/>
        <v/>
      </c>
      <c r="I288" s="228">
        <f t="shared" si="45"/>
        <v>1</v>
      </c>
      <c r="J288" s="228">
        <f t="shared" si="46"/>
        <v>188</v>
      </c>
      <c r="Q288" s="504">
        <f t="shared" ca="1" si="49"/>
        <v>44132</v>
      </c>
    </row>
    <row r="289" spans="2:17">
      <c r="B289" s="226" t="str">
        <f t="shared" si="40"/>
        <v/>
      </c>
      <c r="C289" s="227">
        <f t="shared" si="47"/>
        <v>44088</v>
      </c>
      <c r="D289" s="228">
        <f t="shared" si="48"/>
        <v>1</v>
      </c>
      <c r="E289" s="229">
        <f t="shared" si="41"/>
        <v>44088</v>
      </c>
      <c r="F289" s="228">
        <f t="shared" si="42"/>
        <v>0</v>
      </c>
      <c r="G289" s="230" t="str">
        <f t="shared" si="43"/>
        <v/>
      </c>
      <c r="H289" s="231" t="str">
        <f t="shared" si="44"/>
        <v/>
      </c>
      <c r="I289" s="228">
        <f t="shared" si="45"/>
        <v>0</v>
      </c>
      <c r="J289" s="228">
        <f t="shared" si="46"/>
        <v>189</v>
      </c>
      <c r="Q289" s="504">
        <f t="shared" ca="1" si="49"/>
        <v>44133</v>
      </c>
    </row>
    <row r="290" spans="2:17">
      <c r="B290" s="226" t="str">
        <f t="shared" si="40"/>
        <v/>
      </c>
      <c r="C290" s="227">
        <f t="shared" si="47"/>
        <v>44089</v>
      </c>
      <c r="D290" s="228">
        <f t="shared" si="48"/>
        <v>2</v>
      </c>
      <c r="E290" s="229">
        <f t="shared" si="41"/>
        <v>44089</v>
      </c>
      <c r="F290" s="228">
        <f t="shared" si="42"/>
        <v>0</v>
      </c>
      <c r="G290" s="230" t="str">
        <f t="shared" si="43"/>
        <v/>
      </c>
      <c r="H290" s="231" t="str">
        <f t="shared" si="44"/>
        <v/>
      </c>
      <c r="I290" s="228">
        <f t="shared" si="45"/>
        <v>0</v>
      </c>
      <c r="J290" s="228">
        <f t="shared" si="46"/>
        <v>190</v>
      </c>
      <c r="Q290" s="504">
        <f t="shared" ca="1" si="49"/>
        <v>44134</v>
      </c>
    </row>
    <row r="291" spans="2:17">
      <c r="B291" s="226" t="str">
        <f t="shared" si="40"/>
        <v/>
      </c>
      <c r="C291" s="227">
        <f t="shared" si="47"/>
        <v>44090</v>
      </c>
      <c r="D291" s="228">
        <f t="shared" si="48"/>
        <v>3</v>
      </c>
      <c r="E291" s="229">
        <f t="shared" si="41"/>
        <v>44090</v>
      </c>
      <c r="F291" s="228">
        <f t="shared" si="42"/>
        <v>0</v>
      </c>
      <c r="G291" s="230" t="str">
        <f t="shared" si="43"/>
        <v/>
      </c>
      <c r="H291" s="231" t="str">
        <f t="shared" si="44"/>
        <v/>
      </c>
      <c r="I291" s="228">
        <f t="shared" si="45"/>
        <v>0</v>
      </c>
      <c r="J291" s="228">
        <f t="shared" si="46"/>
        <v>191</v>
      </c>
      <c r="Q291" s="504">
        <f t="shared" ca="1" si="49"/>
        <v>44135</v>
      </c>
    </row>
    <row r="292" spans="2:17">
      <c r="B292" s="226" t="str">
        <f t="shared" si="40"/>
        <v/>
      </c>
      <c r="C292" s="227">
        <f t="shared" si="47"/>
        <v>44091</v>
      </c>
      <c r="D292" s="228">
        <f t="shared" si="48"/>
        <v>4</v>
      </c>
      <c r="E292" s="229">
        <f t="shared" si="41"/>
        <v>44091</v>
      </c>
      <c r="F292" s="228">
        <f t="shared" si="42"/>
        <v>0</v>
      </c>
      <c r="G292" s="230" t="str">
        <f t="shared" si="43"/>
        <v/>
      </c>
      <c r="H292" s="231" t="str">
        <f t="shared" si="44"/>
        <v/>
      </c>
      <c r="I292" s="228">
        <f t="shared" si="45"/>
        <v>0</v>
      </c>
      <c r="J292" s="228">
        <f t="shared" si="46"/>
        <v>192</v>
      </c>
      <c r="Q292" s="504">
        <f t="shared" ca="1" si="49"/>
        <v>44136</v>
      </c>
    </row>
    <row r="293" spans="2:17">
      <c r="B293" s="226" t="str">
        <f t="shared" si="40"/>
        <v/>
      </c>
      <c r="C293" s="227">
        <f t="shared" si="47"/>
        <v>44092</v>
      </c>
      <c r="D293" s="228">
        <f t="shared" si="48"/>
        <v>5</v>
      </c>
      <c r="E293" s="229">
        <f t="shared" si="41"/>
        <v>44092</v>
      </c>
      <c r="F293" s="228">
        <f t="shared" si="42"/>
        <v>0</v>
      </c>
      <c r="G293" s="230" t="str">
        <f t="shared" si="43"/>
        <v/>
      </c>
      <c r="H293" s="231" t="str">
        <f t="shared" si="44"/>
        <v/>
      </c>
      <c r="I293" s="228">
        <f t="shared" si="45"/>
        <v>0</v>
      </c>
      <c r="J293" s="228">
        <f t="shared" si="46"/>
        <v>193</v>
      </c>
      <c r="Q293" s="504">
        <f t="shared" ca="1" si="49"/>
        <v>44137</v>
      </c>
    </row>
    <row r="294" spans="2:17">
      <c r="B294" s="226" t="str">
        <f t="shared" si="40"/>
        <v/>
      </c>
      <c r="C294" s="227">
        <f t="shared" si="47"/>
        <v>44093</v>
      </c>
      <c r="D294" s="228">
        <f t="shared" si="48"/>
        <v>6</v>
      </c>
      <c r="E294" s="229">
        <f t="shared" si="41"/>
        <v>44093</v>
      </c>
      <c r="F294" s="228">
        <f t="shared" si="42"/>
        <v>0</v>
      </c>
      <c r="G294" s="230" t="str">
        <f t="shared" si="43"/>
        <v/>
      </c>
      <c r="H294" s="231" t="str">
        <f t="shared" si="44"/>
        <v/>
      </c>
      <c r="I294" s="228">
        <f t="shared" si="45"/>
        <v>1</v>
      </c>
      <c r="J294" s="228">
        <f t="shared" si="46"/>
        <v>193</v>
      </c>
      <c r="Q294" s="504">
        <f t="shared" ca="1" si="49"/>
        <v>44138</v>
      </c>
    </row>
    <row r="295" spans="2:17">
      <c r="B295" s="226" t="str">
        <f t="shared" si="40"/>
        <v/>
      </c>
      <c r="C295" s="227">
        <f t="shared" si="47"/>
        <v>44094</v>
      </c>
      <c r="D295" s="228">
        <f t="shared" si="48"/>
        <v>7</v>
      </c>
      <c r="E295" s="229">
        <f t="shared" si="41"/>
        <v>44094</v>
      </c>
      <c r="F295" s="228">
        <f t="shared" si="42"/>
        <v>0</v>
      </c>
      <c r="G295" s="230" t="str">
        <f t="shared" si="43"/>
        <v/>
      </c>
      <c r="H295" s="231" t="str">
        <f t="shared" si="44"/>
        <v/>
      </c>
      <c r="I295" s="228">
        <f t="shared" si="45"/>
        <v>1</v>
      </c>
      <c r="J295" s="228">
        <f t="shared" si="46"/>
        <v>193</v>
      </c>
      <c r="Q295" s="504">
        <f t="shared" ca="1" si="49"/>
        <v>44139</v>
      </c>
    </row>
    <row r="296" spans="2:17">
      <c r="B296" s="226" t="str">
        <f t="shared" si="40"/>
        <v/>
      </c>
      <c r="C296" s="227">
        <f t="shared" si="47"/>
        <v>44095</v>
      </c>
      <c r="D296" s="228">
        <f t="shared" si="48"/>
        <v>1</v>
      </c>
      <c r="E296" s="229">
        <f t="shared" si="41"/>
        <v>44095</v>
      </c>
      <c r="F296" s="228">
        <f t="shared" si="42"/>
        <v>0</v>
      </c>
      <c r="G296" s="230" t="str">
        <f t="shared" si="43"/>
        <v/>
      </c>
      <c r="H296" s="231" t="str">
        <f t="shared" si="44"/>
        <v/>
      </c>
      <c r="I296" s="228">
        <f t="shared" si="45"/>
        <v>0</v>
      </c>
      <c r="J296" s="228">
        <f t="shared" si="46"/>
        <v>194</v>
      </c>
      <c r="Q296" s="504">
        <f t="shared" ca="1" si="49"/>
        <v>44140</v>
      </c>
    </row>
    <row r="297" spans="2:17">
      <c r="B297" s="226" t="str">
        <f t="shared" si="40"/>
        <v/>
      </c>
      <c r="C297" s="227">
        <f t="shared" si="47"/>
        <v>44096</v>
      </c>
      <c r="D297" s="228">
        <f t="shared" si="48"/>
        <v>2</v>
      </c>
      <c r="E297" s="229">
        <f t="shared" si="41"/>
        <v>44096</v>
      </c>
      <c r="F297" s="228">
        <f t="shared" si="42"/>
        <v>0</v>
      </c>
      <c r="G297" s="230" t="str">
        <f t="shared" si="43"/>
        <v/>
      </c>
      <c r="H297" s="231" t="str">
        <f t="shared" si="44"/>
        <v/>
      </c>
      <c r="I297" s="228">
        <f t="shared" si="45"/>
        <v>0</v>
      </c>
      <c r="J297" s="228">
        <f t="shared" si="46"/>
        <v>195</v>
      </c>
      <c r="Q297" s="504">
        <f t="shared" ca="1" si="49"/>
        <v>44141</v>
      </c>
    </row>
    <row r="298" spans="2:17">
      <c r="B298" s="226" t="str">
        <f t="shared" si="40"/>
        <v/>
      </c>
      <c r="C298" s="227">
        <f t="shared" si="47"/>
        <v>44097</v>
      </c>
      <c r="D298" s="228">
        <f t="shared" si="48"/>
        <v>3</v>
      </c>
      <c r="E298" s="229">
        <f t="shared" si="41"/>
        <v>44097</v>
      </c>
      <c r="F298" s="228">
        <f t="shared" si="42"/>
        <v>0</v>
      </c>
      <c r="G298" s="230" t="str">
        <f t="shared" si="43"/>
        <v/>
      </c>
      <c r="H298" s="231" t="str">
        <f t="shared" si="44"/>
        <v/>
      </c>
      <c r="I298" s="228">
        <f t="shared" si="45"/>
        <v>0</v>
      </c>
      <c r="J298" s="228">
        <f t="shared" si="46"/>
        <v>196</v>
      </c>
      <c r="Q298" s="504">
        <f t="shared" ca="1" si="49"/>
        <v>44142</v>
      </c>
    </row>
    <row r="299" spans="2:17">
      <c r="B299" s="226" t="str">
        <f t="shared" si="40"/>
        <v/>
      </c>
      <c r="C299" s="227">
        <f t="shared" si="47"/>
        <v>44098</v>
      </c>
      <c r="D299" s="228">
        <f t="shared" si="48"/>
        <v>4</v>
      </c>
      <c r="E299" s="229">
        <f t="shared" si="41"/>
        <v>44098</v>
      </c>
      <c r="F299" s="228">
        <f t="shared" si="42"/>
        <v>0</v>
      </c>
      <c r="G299" s="230" t="str">
        <f t="shared" si="43"/>
        <v/>
      </c>
      <c r="H299" s="231" t="str">
        <f t="shared" si="44"/>
        <v/>
      </c>
      <c r="I299" s="228">
        <f t="shared" si="45"/>
        <v>0</v>
      </c>
      <c r="J299" s="228">
        <f t="shared" si="46"/>
        <v>197</v>
      </c>
      <c r="Q299" s="504">
        <f t="shared" ca="1" si="49"/>
        <v>44143</v>
      </c>
    </row>
    <row r="300" spans="2:17">
      <c r="B300" s="226" t="str">
        <f t="shared" si="40"/>
        <v/>
      </c>
      <c r="C300" s="227">
        <f t="shared" si="47"/>
        <v>44099</v>
      </c>
      <c r="D300" s="228">
        <f t="shared" si="48"/>
        <v>5</v>
      </c>
      <c r="E300" s="229">
        <f t="shared" si="41"/>
        <v>44099</v>
      </c>
      <c r="F300" s="228">
        <f t="shared" si="42"/>
        <v>0</v>
      </c>
      <c r="G300" s="230" t="str">
        <f t="shared" si="43"/>
        <v/>
      </c>
      <c r="H300" s="231" t="str">
        <f t="shared" si="44"/>
        <v/>
      </c>
      <c r="I300" s="228">
        <f t="shared" si="45"/>
        <v>0</v>
      </c>
      <c r="J300" s="228">
        <f t="shared" si="46"/>
        <v>198</v>
      </c>
      <c r="Q300" s="504">
        <f t="shared" ca="1" si="49"/>
        <v>44144</v>
      </c>
    </row>
    <row r="301" spans="2:17">
      <c r="B301" s="226" t="str">
        <f t="shared" si="40"/>
        <v/>
      </c>
      <c r="C301" s="227">
        <f t="shared" si="47"/>
        <v>44100</v>
      </c>
      <c r="D301" s="228">
        <f t="shared" si="48"/>
        <v>6</v>
      </c>
      <c r="E301" s="229">
        <f t="shared" si="41"/>
        <v>44100</v>
      </c>
      <c r="F301" s="228">
        <f t="shared" si="42"/>
        <v>0</v>
      </c>
      <c r="G301" s="230" t="str">
        <f t="shared" si="43"/>
        <v/>
      </c>
      <c r="H301" s="231" t="str">
        <f t="shared" si="44"/>
        <v/>
      </c>
      <c r="I301" s="228">
        <f t="shared" si="45"/>
        <v>1</v>
      </c>
      <c r="J301" s="228">
        <f t="shared" si="46"/>
        <v>198</v>
      </c>
      <c r="Q301" s="504">
        <f t="shared" ca="1" si="49"/>
        <v>44145</v>
      </c>
    </row>
    <row r="302" spans="2:17">
      <c r="B302" s="226" t="str">
        <f t="shared" si="40"/>
        <v/>
      </c>
      <c r="C302" s="227">
        <f t="shared" si="47"/>
        <v>44101</v>
      </c>
      <c r="D302" s="228">
        <f t="shared" si="48"/>
        <v>7</v>
      </c>
      <c r="E302" s="229">
        <f t="shared" si="41"/>
        <v>44101</v>
      </c>
      <c r="F302" s="228">
        <f t="shared" si="42"/>
        <v>0</v>
      </c>
      <c r="G302" s="230" t="str">
        <f t="shared" si="43"/>
        <v/>
      </c>
      <c r="H302" s="231" t="str">
        <f t="shared" si="44"/>
        <v/>
      </c>
      <c r="I302" s="228">
        <f t="shared" si="45"/>
        <v>1</v>
      </c>
      <c r="J302" s="228">
        <f t="shared" si="46"/>
        <v>198</v>
      </c>
      <c r="Q302" s="504">
        <f t="shared" ca="1" si="49"/>
        <v>44146</v>
      </c>
    </row>
    <row r="303" spans="2:17">
      <c r="B303" s="226" t="str">
        <f t="shared" si="40"/>
        <v/>
      </c>
      <c r="C303" s="227">
        <f t="shared" si="47"/>
        <v>44102</v>
      </c>
      <c r="D303" s="228">
        <f t="shared" si="48"/>
        <v>1</v>
      </c>
      <c r="E303" s="229">
        <f t="shared" si="41"/>
        <v>44102</v>
      </c>
      <c r="F303" s="228">
        <f t="shared" si="42"/>
        <v>0</v>
      </c>
      <c r="G303" s="230" t="str">
        <f t="shared" si="43"/>
        <v/>
      </c>
      <c r="H303" s="231" t="str">
        <f t="shared" si="44"/>
        <v/>
      </c>
      <c r="I303" s="228">
        <f t="shared" si="45"/>
        <v>0</v>
      </c>
      <c r="J303" s="228">
        <f t="shared" si="46"/>
        <v>199</v>
      </c>
      <c r="Q303" s="504">
        <f t="shared" ca="1" si="49"/>
        <v>44147</v>
      </c>
    </row>
    <row r="304" spans="2:17">
      <c r="B304" s="226" t="str">
        <f t="shared" si="40"/>
        <v/>
      </c>
      <c r="C304" s="227">
        <f t="shared" si="47"/>
        <v>44103</v>
      </c>
      <c r="D304" s="228">
        <f t="shared" si="48"/>
        <v>2</v>
      </c>
      <c r="E304" s="229">
        <f t="shared" si="41"/>
        <v>44103</v>
      </c>
      <c r="F304" s="228">
        <f t="shared" si="42"/>
        <v>0</v>
      </c>
      <c r="G304" s="230" t="str">
        <f t="shared" si="43"/>
        <v/>
      </c>
      <c r="H304" s="231" t="str">
        <f t="shared" si="44"/>
        <v/>
      </c>
      <c r="I304" s="228">
        <f t="shared" si="45"/>
        <v>0</v>
      </c>
      <c r="J304" s="228">
        <f t="shared" si="46"/>
        <v>200</v>
      </c>
      <c r="Q304" s="504">
        <f t="shared" ca="1" si="49"/>
        <v>44148</v>
      </c>
    </row>
    <row r="305" spans="2:17">
      <c r="B305" s="226" t="str">
        <f t="shared" si="40"/>
        <v/>
      </c>
      <c r="C305" s="227">
        <f t="shared" si="47"/>
        <v>44104</v>
      </c>
      <c r="D305" s="228">
        <f t="shared" si="48"/>
        <v>3</v>
      </c>
      <c r="E305" s="229">
        <f t="shared" si="41"/>
        <v>44104</v>
      </c>
      <c r="F305" s="228">
        <f t="shared" si="42"/>
        <v>0</v>
      </c>
      <c r="G305" s="230" t="str">
        <f t="shared" si="43"/>
        <v/>
      </c>
      <c r="H305" s="231" t="str">
        <f t="shared" si="44"/>
        <v/>
      </c>
      <c r="I305" s="228">
        <f t="shared" si="45"/>
        <v>0</v>
      </c>
      <c r="J305" s="228">
        <f t="shared" si="46"/>
        <v>201</v>
      </c>
      <c r="Q305" s="504">
        <f t="shared" ca="1" si="49"/>
        <v>44149</v>
      </c>
    </row>
    <row r="306" spans="2:17">
      <c r="B306" s="226" t="str">
        <f t="shared" si="40"/>
        <v/>
      </c>
      <c r="C306" s="227">
        <f t="shared" si="47"/>
        <v>44105</v>
      </c>
      <c r="D306" s="228">
        <f t="shared" si="48"/>
        <v>4</v>
      </c>
      <c r="E306" s="229">
        <f t="shared" si="41"/>
        <v>44105</v>
      </c>
      <c r="F306" s="228">
        <f t="shared" si="42"/>
        <v>0</v>
      </c>
      <c r="G306" s="230" t="str">
        <f t="shared" si="43"/>
        <v/>
      </c>
      <c r="H306" s="231" t="str">
        <f t="shared" si="44"/>
        <v/>
      </c>
      <c r="I306" s="228">
        <f t="shared" si="45"/>
        <v>0</v>
      </c>
      <c r="J306" s="228">
        <f t="shared" si="46"/>
        <v>202</v>
      </c>
      <c r="Q306" s="504">
        <f t="shared" ca="1" si="49"/>
        <v>44150</v>
      </c>
    </row>
    <row r="307" spans="2:17">
      <c r="B307" s="226" t="str">
        <f t="shared" si="40"/>
        <v/>
      </c>
      <c r="C307" s="227">
        <f t="shared" si="47"/>
        <v>44106</v>
      </c>
      <c r="D307" s="228">
        <f t="shared" si="48"/>
        <v>5</v>
      </c>
      <c r="E307" s="229">
        <f t="shared" si="41"/>
        <v>44106</v>
      </c>
      <c r="F307" s="228">
        <f t="shared" si="42"/>
        <v>0</v>
      </c>
      <c r="G307" s="230" t="str">
        <f t="shared" si="43"/>
        <v/>
      </c>
      <c r="H307" s="231" t="str">
        <f t="shared" si="44"/>
        <v/>
      </c>
      <c r="I307" s="228">
        <f t="shared" si="45"/>
        <v>0</v>
      </c>
      <c r="J307" s="228">
        <f t="shared" si="46"/>
        <v>203</v>
      </c>
      <c r="Q307" s="504">
        <f t="shared" ca="1" si="49"/>
        <v>44151</v>
      </c>
    </row>
    <row r="308" spans="2:17">
      <c r="B308" s="226" t="str">
        <f t="shared" si="40"/>
        <v/>
      </c>
      <c r="C308" s="227">
        <f t="shared" si="47"/>
        <v>44107</v>
      </c>
      <c r="D308" s="228">
        <f t="shared" si="48"/>
        <v>6</v>
      </c>
      <c r="E308" s="229">
        <f t="shared" si="41"/>
        <v>44107</v>
      </c>
      <c r="F308" s="228">
        <f t="shared" si="42"/>
        <v>0</v>
      </c>
      <c r="G308" s="230" t="str">
        <f t="shared" si="43"/>
        <v/>
      </c>
      <c r="H308" s="231" t="str">
        <f t="shared" si="44"/>
        <v/>
      </c>
      <c r="I308" s="228">
        <f t="shared" si="45"/>
        <v>1</v>
      </c>
      <c r="J308" s="228">
        <f t="shared" si="46"/>
        <v>203</v>
      </c>
      <c r="Q308" s="504">
        <f t="shared" ca="1" si="49"/>
        <v>44152</v>
      </c>
    </row>
    <row r="309" spans="2:17">
      <c r="B309" s="226" t="str">
        <f t="shared" si="40"/>
        <v/>
      </c>
      <c r="C309" s="227">
        <f t="shared" si="47"/>
        <v>44108</v>
      </c>
      <c r="D309" s="228">
        <f t="shared" si="48"/>
        <v>7</v>
      </c>
      <c r="E309" s="229">
        <f t="shared" si="41"/>
        <v>44108</v>
      </c>
      <c r="F309" s="228">
        <f t="shared" si="42"/>
        <v>0</v>
      </c>
      <c r="G309" s="230" t="str">
        <f t="shared" si="43"/>
        <v/>
      </c>
      <c r="H309" s="231" t="str">
        <f t="shared" si="44"/>
        <v/>
      </c>
      <c r="I309" s="228">
        <f t="shared" si="45"/>
        <v>1</v>
      </c>
      <c r="J309" s="228">
        <f t="shared" si="46"/>
        <v>203</v>
      </c>
      <c r="Q309" s="504">
        <f t="shared" ca="1" si="49"/>
        <v>44153</v>
      </c>
    </row>
    <row r="310" spans="2:17">
      <c r="B310" s="226" t="str">
        <f t="shared" si="40"/>
        <v/>
      </c>
      <c r="C310" s="227">
        <f t="shared" si="47"/>
        <v>44109</v>
      </c>
      <c r="D310" s="228">
        <f t="shared" si="48"/>
        <v>1</v>
      </c>
      <c r="E310" s="229">
        <f t="shared" si="41"/>
        <v>44109</v>
      </c>
      <c r="F310" s="228">
        <f t="shared" si="42"/>
        <v>0</v>
      </c>
      <c r="G310" s="230" t="str">
        <f t="shared" si="43"/>
        <v/>
      </c>
      <c r="H310" s="231" t="str">
        <f t="shared" si="44"/>
        <v/>
      </c>
      <c r="I310" s="228">
        <f t="shared" si="45"/>
        <v>0</v>
      </c>
      <c r="J310" s="228">
        <f t="shared" si="46"/>
        <v>204</v>
      </c>
      <c r="Q310" s="504">
        <f t="shared" ca="1" si="49"/>
        <v>44154</v>
      </c>
    </row>
    <row r="311" spans="2:17">
      <c r="B311" s="226" t="str">
        <f t="shared" si="40"/>
        <v/>
      </c>
      <c r="C311" s="227">
        <f t="shared" si="47"/>
        <v>44110</v>
      </c>
      <c r="D311" s="228">
        <f t="shared" si="48"/>
        <v>2</v>
      </c>
      <c r="E311" s="229">
        <f t="shared" si="41"/>
        <v>44110</v>
      </c>
      <c r="F311" s="228">
        <f t="shared" si="42"/>
        <v>0</v>
      </c>
      <c r="G311" s="230" t="str">
        <f t="shared" si="43"/>
        <v/>
      </c>
      <c r="H311" s="231" t="str">
        <f t="shared" si="44"/>
        <v/>
      </c>
      <c r="I311" s="228">
        <f t="shared" si="45"/>
        <v>0</v>
      </c>
      <c r="J311" s="228">
        <f t="shared" si="46"/>
        <v>205</v>
      </c>
      <c r="Q311" s="504">
        <f t="shared" ca="1" si="49"/>
        <v>44155</v>
      </c>
    </row>
    <row r="312" spans="2:17">
      <c r="B312" s="226" t="str">
        <f t="shared" si="40"/>
        <v/>
      </c>
      <c r="C312" s="227">
        <f t="shared" si="47"/>
        <v>44111</v>
      </c>
      <c r="D312" s="228">
        <f t="shared" si="48"/>
        <v>3</v>
      </c>
      <c r="E312" s="229">
        <f t="shared" si="41"/>
        <v>44111</v>
      </c>
      <c r="F312" s="228">
        <f t="shared" si="42"/>
        <v>0</v>
      </c>
      <c r="G312" s="230" t="str">
        <f t="shared" si="43"/>
        <v/>
      </c>
      <c r="H312" s="231" t="str">
        <f t="shared" si="44"/>
        <v/>
      </c>
      <c r="I312" s="228">
        <f t="shared" si="45"/>
        <v>0</v>
      </c>
      <c r="J312" s="228">
        <f t="shared" si="46"/>
        <v>206</v>
      </c>
      <c r="Q312" s="504">
        <f t="shared" ca="1" si="49"/>
        <v>44156</v>
      </c>
    </row>
    <row r="313" spans="2:17">
      <c r="B313" s="226" t="str">
        <f t="shared" si="40"/>
        <v/>
      </c>
      <c r="C313" s="227">
        <f t="shared" si="47"/>
        <v>44112</v>
      </c>
      <c r="D313" s="228">
        <f t="shared" si="48"/>
        <v>4</v>
      </c>
      <c r="E313" s="229">
        <f t="shared" si="41"/>
        <v>44112</v>
      </c>
      <c r="F313" s="228">
        <f t="shared" si="42"/>
        <v>0</v>
      </c>
      <c r="G313" s="230" t="str">
        <f t="shared" si="43"/>
        <v/>
      </c>
      <c r="H313" s="231" t="str">
        <f t="shared" si="44"/>
        <v/>
      </c>
      <c r="I313" s="228">
        <f t="shared" si="45"/>
        <v>0</v>
      </c>
      <c r="J313" s="228">
        <f t="shared" si="46"/>
        <v>207</v>
      </c>
      <c r="Q313" s="504">
        <f t="shared" ca="1" si="49"/>
        <v>44157</v>
      </c>
    </row>
    <row r="314" spans="2:17">
      <c r="B314" s="226" t="str">
        <f t="shared" si="40"/>
        <v/>
      </c>
      <c r="C314" s="227">
        <f t="shared" si="47"/>
        <v>44113</v>
      </c>
      <c r="D314" s="228">
        <f t="shared" si="48"/>
        <v>5</v>
      </c>
      <c r="E314" s="229">
        <f t="shared" si="41"/>
        <v>44113</v>
      </c>
      <c r="F314" s="228">
        <f t="shared" si="42"/>
        <v>0</v>
      </c>
      <c r="G314" s="230" t="str">
        <f t="shared" si="43"/>
        <v/>
      </c>
      <c r="H314" s="231" t="str">
        <f t="shared" si="44"/>
        <v/>
      </c>
      <c r="I314" s="228">
        <f t="shared" si="45"/>
        <v>0</v>
      </c>
      <c r="J314" s="228">
        <f t="shared" si="46"/>
        <v>208</v>
      </c>
      <c r="Q314" s="504">
        <f t="shared" ca="1" si="49"/>
        <v>44158</v>
      </c>
    </row>
    <row r="315" spans="2:17">
      <c r="B315" s="226" t="str">
        <f t="shared" si="40"/>
        <v/>
      </c>
      <c r="C315" s="227">
        <f t="shared" si="47"/>
        <v>44114</v>
      </c>
      <c r="D315" s="228">
        <f t="shared" si="48"/>
        <v>6</v>
      </c>
      <c r="E315" s="229">
        <f t="shared" si="41"/>
        <v>44114</v>
      </c>
      <c r="F315" s="228">
        <f t="shared" si="42"/>
        <v>0</v>
      </c>
      <c r="G315" s="230" t="str">
        <f t="shared" si="43"/>
        <v/>
      </c>
      <c r="H315" s="231" t="str">
        <f t="shared" si="44"/>
        <v/>
      </c>
      <c r="I315" s="228">
        <f t="shared" si="45"/>
        <v>1</v>
      </c>
      <c r="J315" s="228">
        <f t="shared" si="46"/>
        <v>208</v>
      </c>
      <c r="Q315" s="504">
        <f t="shared" ca="1" si="49"/>
        <v>44159</v>
      </c>
    </row>
    <row r="316" spans="2:17">
      <c r="B316" s="226" t="str">
        <f t="shared" si="40"/>
        <v/>
      </c>
      <c r="C316" s="227">
        <f t="shared" si="47"/>
        <v>44115</v>
      </c>
      <c r="D316" s="228">
        <f t="shared" si="48"/>
        <v>7</v>
      </c>
      <c r="E316" s="229">
        <f t="shared" si="41"/>
        <v>44115</v>
      </c>
      <c r="F316" s="228">
        <f t="shared" si="42"/>
        <v>0</v>
      </c>
      <c r="G316" s="230" t="str">
        <f t="shared" si="43"/>
        <v/>
      </c>
      <c r="H316" s="231" t="str">
        <f t="shared" si="44"/>
        <v/>
      </c>
      <c r="I316" s="228">
        <f t="shared" si="45"/>
        <v>1</v>
      </c>
      <c r="J316" s="228">
        <f t="shared" si="46"/>
        <v>208</v>
      </c>
      <c r="Q316" s="504">
        <f t="shared" ca="1" si="49"/>
        <v>44160</v>
      </c>
    </row>
    <row r="317" spans="2:17">
      <c r="B317" s="226" t="str">
        <f t="shared" si="40"/>
        <v/>
      </c>
      <c r="C317" s="227">
        <f t="shared" si="47"/>
        <v>44116</v>
      </c>
      <c r="D317" s="228">
        <f t="shared" si="48"/>
        <v>1</v>
      </c>
      <c r="E317" s="229">
        <f t="shared" si="41"/>
        <v>44116</v>
      </c>
      <c r="F317" s="228">
        <f t="shared" si="42"/>
        <v>0</v>
      </c>
      <c r="G317" s="230" t="str">
        <f t="shared" si="43"/>
        <v/>
      </c>
      <c r="H317" s="231" t="str">
        <f t="shared" si="44"/>
        <v/>
      </c>
      <c r="I317" s="228">
        <f t="shared" si="45"/>
        <v>0</v>
      </c>
      <c r="J317" s="228">
        <f t="shared" si="46"/>
        <v>209</v>
      </c>
      <c r="Q317" s="504">
        <f t="shared" ca="1" si="49"/>
        <v>44161</v>
      </c>
    </row>
    <row r="318" spans="2:17">
      <c r="B318" s="226" t="str">
        <f t="shared" si="40"/>
        <v/>
      </c>
      <c r="C318" s="227">
        <f t="shared" si="47"/>
        <v>44117</v>
      </c>
      <c r="D318" s="228">
        <f t="shared" si="48"/>
        <v>2</v>
      </c>
      <c r="E318" s="229">
        <f t="shared" si="41"/>
        <v>44117</v>
      </c>
      <c r="F318" s="228">
        <f t="shared" si="42"/>
        <v>0</v>
      </c>
      <c r="G318" s="230" t="str">
        <f t="shared" si="43"/>
        <v/>
      </c>
      <c r="H318" s="231" t="str">
        <f t="shared" si="44"/>
        <v/>
      </c>
      <c r="I318" s="228">
        <f t="shared" si="45"/>
        <v>0</v>
      </c>
      <c r="J318" s="228">
        <f t="shared" si="46"/>
        <v>210</v>
      </c>
      <c r="Q318" s="504">
        <f t="shared" ca="1" si="49"/>
        <v>44162</v>
      </c>
    </row>
    <row r="319" spans="2:17">
      <c r="B319" s="226" t="str">
        <f t="shared" si="40"/>
        <v/>
      </c>
      <c r="C319" s="227">
        <f t="shared" si="47"/>
        <v>44118</v>
      </c>
      <c r="D319" s="228">
        <f t="shared" si="48"/>
        <v>3</v>
      </c>
      <c r="E319" s="229">
        <f t="shared" si="41"/>
        <v>44118</v>
      </c>
      <c r="F319" s="228">
        <f t="shared" si="42"/>
        <v>0</v>
      </c>
      <c r="G319" s="230" t="str">
        <f t="shared" si="43"/>
        <v/>
      </c>
      <c r="H319" s="231" t="str">
        <f t="shared" si="44"/>
        <v/>
      </c>
      <c r="I319" s="228">
        <f t="shared" si="45"/>
        <v>0</v>
      </c>
      <c r="J319" s="228">
        <f t="shared" si="46"/>
        <v>211</v>
      </c>
      <c r="Q319" s="504">
        <f t="shared" ca="1" si="49"/>
        <v>44163</v>
      </c>
    </row>
    <row r="320" spans="2:17">
      <c r="B320" s="226" t="str">
        <f t="shared" si="40"/>
        <v/>
      </c>
      <c r="C320" s="227">
        <f t="shared" si="47"/>
        <v>44119</v>
      </c>
      <c r="D320" s="228">
        <f t="shared" si="48"/>
        <v>4</v>
      </c>
      <c r="E320" s="229">
        <f t="shared" si="41"/>
        <v>44119</v>
      </c>
      <c r="F320" s="228">
        <f t="shared" si="42"/>
        <v>0</v>
      </c>
      <c r="G320" s="230" t="str">
        <f t="shared" si="43"/>
        <v/>
      </c>
      <c r="H320" s="231" t="str">
        <f t="shared" si="44"/>
        <v/>
      </c>
      <c r="I320" s="228">
        <f t="shared" si="45"/>
        <v>0</v>
      </c>
      <c r="J320" s="228">
        <f t="shared" si="46"/>
        <v>212</v>
      </c>
      <c r="Q320" s="504">
        <f t="shared" ca="1" si="49"/>
        <v>44164</v>
      </c>
    </row>
    <row r="321" spans="2:17">
      <c r="B321" s="226" t="str">
        <f t="shared" si="40"/>
        <v/>
      </c>
      <c r="C321" s="227">
        <f t="shared" si="47"/>
        <v>44120</v>
      </c>
      <c r="D321" s="228">
        <f t="shared" si="48"/>
        <v>5</v>
      </c>
      <c r="E321" s="229">
        <f t="shared" si="41"/>
        <v>44120</v>
      </c>
      <c r="F321" s="228">
        <f t="shared" si="42"/>
        <v>0</v>
      </c>
      <c r="G321" s="230" t="str">
        <f t="shared" si="43"/>
        <v/>
      </c>
      <c r="H321" s="231" t="str">
        <f t="shared" si="44"/>
        <v/>
      </c>
      <c r="I321" s="228">
        <f t="shared" si="45"/>
        <v>0</v>
      </c>
      <c r="J321" s="228">
        <f t="shared" si="46"/>
        <v>213</v>
      </c>
      <c r="Q321" s="504">
        <f t="shared" ca="1" si="49"/>
        <v>44165</v>
      </c>
    </row>
    <row r="322" spans="2:17">
      <c r="B322" s="226" t="str">
        <f t="shared" si="40"/>
        <v/>
      </c>
      <c r="C322" s="227">
        <f t="shared" si="47"/>
        <v>44121</v>
      </c>
      <c r="D322" s="228">
        <f t="shared" si="48"/>
        <v>6</v>
      </c>
      <c r="E322" s="229">
        <f t="shared" si="41"/>
        <v>44121</v>
      </c>
      <c r="F322" s="228">
        <f t="shared" si="42"/>
        <v>0</v>
      </c>
      <c r="G322" s="230" t="str">
        <f t="shared" si="43"/>
        <v/>
      </c>
      <c r="H322" s="231" t="str">
        <f t="shared" si="44"/>
        <v/>
      </c>
      <c r="I322" s="228">
        <f t="shared" si="45"/>
        <v>1</v>
      </c>
      <c r="J322" s="228">
        <f t="shared" si="46"/>
        <v>213</v>
      </c>
      <c r="Q322" s="504">
        <f t="shared" ca="1" si="49"/>
        <v>44166</v>
      </c>
    </row>
    <row r="323" spans="2:17">
      <c r="B323" s="226" t="str">
        <f t="shared" si="40"/>
        <v/>
      </c>
      <c r="C323" s="227">
        <f t="shared" si="47"/>
        <v>44122</v>
      </c>
      <c r="D323" s="228">
        <f t="shared" si="48"/>
        <v>7</v>
      </c>
      <c r="E323" s="229">
        <f t="shared" si="41"/>
        <v>44122</v>
      </c>
      <c r="F323" s="228">
        <f t="shared" si="42"/>
        <v>0</v>
      </c>
      <c r="G323" s="230" t="str">
        <f t="shared" si="43"/>
        <v/>
      </c>
      <c r="H323" s="231" t="str">
        <f t="shared" si="44"/>
        <v/>
      </c>
      <c r="I323" s="228">
        <f t="shared" si="45"/>
        <v>1</v>
      </c>
      <c r="J323" s="228">
        <f t="shared" si="46"/>
        <v>213</v>
      </c>
      <c r="Q323" s="504">
        <f t="shared" ca="1" si="49"/>
        <v>44167</v>
      </c>
    </row>
    <row r="324" spans="2:17">
      <c r="B324" s="226" t="str">
        <f t="shared" si="40"/>
        <v/>
      </c>
      <c r="C324" s="227">
        <f t="shared" si="47"/>
        <v>44123</v>
      </c>
      <c r="D324" s="228">
        <f t="shared" si="48"/>
        <v>1</v>
      </c>
      <c r="E324" s="229">
        <f t="shared" si="41"/>
        <v>44123</v>
      </c>
      <c r="F324" s="228">
        <f t="shared" si="42"/>
        <v>0</v>
      </c>
      <c r="G324" s="230" t="str">
        <f t="shared" si="43"/>
        <v/>
      </c>
      <c r="H324" s="231" t="str">
        <f t="shared" si="44"/>
        <v/>
      </c>
      <c r="I324" s="228">
        <f t="shared" si="45"/>
        <v>0</v>
      </c>
      <c r="J324" s="228">
        <f t="shared" si="46"/>
        <v>214</v>
      </c>
      <c r="Q324" s="504">
        <f t="shared" ca="1" si="49"/>
        <v>44168</v>
      </c>
    </row>
    <row r="325" spans="2:17">
      <c r="B325" s="226" t="str">
        <f t="shared" si="40"/>
        <v/>
      </c>
      <c r="C325" s="227">
        <f t="shared" si="47"/>
        <v>44124</v>
      </c>
      <c r="D325" s="228">
        <f t="shared" si="48"/>
        <v>2</v>
      </c>
      <c r="E325" s="229">
        <f t="shared" si="41"/>
        <v>44124</v>
      </c>
      <c r="F325" s="228">
        <f t="shared" si="42"/>
        <v>0</v>
      </c>
      <c r="G325" s="230" t="str">
        <f t="shared" si="43"/>
        <v/>
      </c>
      <c r="H325" s="231" t="str">
        <f t="shared" si="44"/>
        <v/>
      </c>
      <c r="I325" s="228">
        <f t="shared" si="45"/>
        <v>0</v>
      </c>
      <c r="J325" s="228">
        <f t="shared" si="46"/>
        <v>215</v>
      </c>
      <c r="Q325" s="504">
        <f t="shared" ca="1" si="49"/>
        <v>44169</v>
      </c>
    </row>
    <row r="326" spans="2:17">
      <c r="B326" s="226" t="str">
        <f t="shared" si="40"/>
        <v/>
      </c>
      <c r="C326" s="227">
        <f t="shared" si="47"/>
        <v>44125</v>
      </c>
      <c r="D326" s="228">
        <f t="shared" si="48"/>
        <v>3</v>
      </c>
      <c r="E326" s="229">
        <f t="shared" si="41"/>
        <v>44125</v>
      </c>
      <c r="F326" s="228">
        <f t="shared" si="42"/>
        <v>0</v>
      </c>
      <c r="G326" s="230" t="str">
        <f t="shared" si="43"/>
        <v/>
      </c>
      <c r="H326" s="231" t="str">
        <f t="shared" si="44"/>
        <v/>
      </c>
      <c r="I326" s="228">
        <f t="shared" si="45"/>
        <v>0</v>
      </c>
      <c r="J326" s="228">
        <f t="shared" si="46"/>
        <v>216</v>
      </c>
      <c r="Q326" s="504">
        <f t="shared" ca="1" si="49"/>
        <v>44170</v>
      </c>
    </row>
    <row r="327" spans="2:17">
      <c r="B327" s="226" t="str">
        <f t="shared" si="40"/>
        <v/>
      </c>
      <c r="C327" s="227">
        <f t="shared" si="47"/>
        <v>44126</v>
      </c>
      <c r="D327" s="228">
        <f t="shared" si="48"/>
        <v>4</v>
      </c>
      <c r="E327" s="229">
        <f t="shared" si="41"/>
        <v>44126</v>
      </c>
      <c r="F327" s="228">
        <f t="shared" si="42"/>
        <v>0</v>
      </c>
      <c r="G327" s="230" t="str">
        <f t="shared" si="43"/>
        <v/>
      </c>
      <c r="H327" s="231" t="str">
        <f t="shared" si="44"/>
        <v/>
      </c>
      <c r="I327" s="228">
        <f t="shared" si="45"/>
        <v>0</v>
      </c>
      <c r="J327" s="228">
        <f t="shared" si="46"/>
        <v>217</v>
      </c>
      <c r="Q327" s="504">
        <f t="shared" ca="1" si="49"/>
        <v>44171</v>
      </c>
    </row>
    <row r="328" spans="2:17">
      <c r="B328" s="226" t="str">
        <f t="shared" si="40"/>
        <v/>
      </c>
      <c r="C328" s="227">
        <f t="shared" si="47"/>
        <v>44127</v>
      </c>
      <c r="D328" s="228">
        <f t="shared" si="48"/>
        <v>5</v>
      </c>
      <c r="E328" s="229">
        <f t="shared" si="41"/>
        <v>44127</v>
      </c>
      <c r="F328" s="228">
        <f t="shared" si="42"/>
        <v>0</v>
      </c>
      <c r="G328" s="230" t="str">
        <f t="shared" si="43"/>
        <v/>
      </c>
      <c r="H328" s="231" t="str">
        <f t="shared" si="44"/>
        <v/>
      </c>
      <c r="I328" s="228">
        <f t="shared" si="45"/>
        <v>0</v>
      </c>
      <c r="J328" s="228">
        <f t="shared" si="46"/>
        <v>218</v>
      </c>
      <c r="Q328" s="504">
        <f t="shared" ca="1" si="49"/>
        <v>44172</v>
      </c>
    </row>
    <row r="329" spans="2:17">
      <c r="B329" s="226" t="str">
        <f t="shared" si="40"/>
        <v/>
      </c>
      <c r="C329" s="227">
        <f t="shared" si="47"/>
        <v>44128</v>
      </c>
      <c r="D329" s="228">
        <f t="shared" si="48"/>
        <v>6</v>
      </c>
      <c r="E329" s="229">
        <f t="shared" si="41"/>
        <v>44128</v>
      </c>
      <c r="F329" s="228">
        <f t="shared" si="42"/>
        <v>0</v>
      </c>
      <c r="G329" s="230" t="str">
        <f t="shared" si="43"/>
        <v/>
      </c>
      <c r="H329" s="231" t="str">
        <f t="shared" si="44"/>
        <v/>
      </c>
      <c r="I329" s="228">
        <f t="shared" si="45"/>
        <v>1</v>
      </c>
      <c r="J329" s="228">
        <f t="shared" si="46"/>
        <v>218</v>
      </c>
      <c r="Q329" s="504">
        <f t="shared" ca="1" si="49"/>
        <v>44173</v>
      </c>
    </row>
    <row r="330" spans="2:17">
      <c r="B330" s="226" t="str">
        <f t="shared" si="40"/>
        <v/>
      </c>
      <c r="C330" s="227">
        <f t="shared" si="47"/>
        <v>44129</v>
      </c>
      <c r="D330" s="228">
        <f t="shared" si="48"/>
        <v>7</v>
      </c>
      <c r="E330" s="229">
        <f t="shared" si="41"/>
        <v>44129</v>
      </c>
      <c r="F330" s="228">
        <f t="shared" si="42"/>
        <v>0</v>
      </c>
      <c r="G330" s="230" t="str">
        <f t="shared" si="43"/>
        <v/>
      </c>
      <c r="H330" s="231" t="str">
        <f t="shared" si="44"/>
        <v/>
      </c>
      <c r="I330" s="228">
        <f t="shared" si="45"/>
        <v>1</v>
      </c>
      <c r="J330" s="228">
        <f t="shared" si="46"/>
        <v>218</v>
      </c>
      <c r="Q330" s="504">
        <f t="shared" ca="1" si="49"/>
        <v>44174</v>
      </c>
    </row>
    <row r="331" spans="2:17">
      <c r="B331" s="226" t="str">
        <f t="shared" si="40"/>
        <v/>
      </c>
      <c r="C331" s="227">
        <f t="shared" si="47"/>
        <v>44130</v>
      </c>
      <c r="D331" s="228">
        <f t="shared" si="48"/>
        <v>1</v>
      </c>
      <c r="E331" s="229">
        <f t="shared" si="41"/>
        <v>44130</v>
      </c>
      <c r="F331" s="228">
        <f t="shared" si="42"/>
        <v>0</v>
      </c>
      <c r="G331" s="230" t="str">
        <f t="shared" si="43"/>
        <v/>
      </c>
      <c r="H331" s="231" t="str">
        <f t="shared" si="44"/>
        <v/>
      </c>
      <c r="I331" s="228">
        <f t="shared" si="45"/>
        <v>0</v>
      </c>
      <c r="J331" s="228">
        <f t="shared" si="46"/>
        <v>219</v>
      </c>
      <c r="Q331" s="504">
        <f t="shared" ca="1" si="49"/>
        <v>44175</v>
      </c>
    </row>
    <row r="332" spans="2:17">
      <c r="B332" s="226" t="str">
        <f t="shared" si="40"/>
        <v/>
      </c>
      <c r="C332" s="227">
        <f t="shared" si="47"/>
        <v>44131</v>
      </c>
      <c r="D332" s="228">
        <f t="shared" si="48"/>
        <v>2</v>
      </c>
      <c r="E332" s="229">
        <f t="shared" si="41"/>
        <v>44131</v>
      </c>
      <c r="F332" s="228">
        <f t="shared" si="42"/>
        <v>0</v>
      </c>
      <c r="G332" s="230" t="str">
        <f t="shared" si="43"/>
        <v/>
      </c>
      <c r="H332" s="231" t="str">
        <f t="shared" si="44"/>
        <v/>
      </c>
      <c r="I332" s="228">
        <f t="shared" si="45"/>
        <v>0</v>
      </c>
      <c r="J332" s="228">
        <f t="shared" si="46"/>
        <v>220</v>
      </c>
      <c r="Q332" s="504">
        <f t="shared" ca="1" si="49"/>
        <v>44176</v>
      </c>
    </row>
    <row r="333" spans="2:17">
      <c r="B333" s="226" t="str">
        <f t="shared" si="40"/>
        <v/>
      </c>
      <c r="C333" s="227">
        <f t="shared" si="47"/>
        <v>44132</v>
      </c>
      <c r="D333" s="228">
        <f t="shared" si="48"/>
        <v>3</v>
      </c>
      <c r="E333" s="229">
        <f t="shared" si="41"/>
        <v>44132</v>
      </c>
      <c r="F333" s="228">
        <f t="shared" si="42"/>
        <v>0</v>
      </c>
      <c r="G333" s="230" t="str">
        <f t="shared" si="43"/>
        <v/>
      </c>
      <c r="H333" s="231" t="str">
        <f t="shared" si="44"/>
        <v/>
      </c>
      <c r="I333" s="228">
        <f t="shared" si="45"/>
        <v>0</v>
      </c>
      <c r="J333" s="228">
        <f t="shared" si="46"/>
        <v>221</v>
      </c>
      <c r="Q333" s="504">
        <f t="shared" ca="1" si="49"/>
        <v>44177</v>
      </c>
    </row>
    <row r="334" spans="2:17">
      <c r="B334" s="226" t="str">
        <f t="shared" ref="B334:B397" si="50">IF(J334=$C$4,"Til","")</f>
        <v/>
      </c>
      <c r="C334" s="227">
        <f t="shared" si="47"/>
        <v>44133</v>
      </c>
      <c r="D334" s="228">
        <f t="shared" si="48"/>
        <v>4</v>
      </c>
      <c r="E334" s="229">
        <f t="shared" ref="E334:E397" si="51">C334</f>
        <v>44133</v>
      </c>
      <c r="F334" s="228">
        <f t="shared" ref="F334:F397" si="52">IF(C334="","",IFERROR(MATCH(C334,INDEX(caHellig,,2),0),0))</f>
        <v>0</v>
      </c>
      <c r="G334" s="230" t="str">
        <f t="shared" ref="G334:G397" si="53">IF(C334="","",IF(F334&gt;0,INDEX(caHellig,F334,2),""))</f>
        <v/>
      </c>
      <c r="H334" s="231" t="str">
        <f t="shared" ref="H334:H397" si="54">IF(C334="","",IF(F334&gt;0,INDEX(caHellig,F334,1),""))</f>
        <v/>
      </c>
      <c r="I334" s="228">
        <f t="shared" ref="I334:I397" si="55">IF(C334="","",IF(OR(D334&gt;5,F334,0),1,0))</f>
        <v>0</v>
      </c>
      <c r="J334" s="228">
        <f t="shared" ref="J334:J397" si="56">IF(C334="","",IF(I334=0,J333+1,J333))</f>
        <v>222</v>
      </c>
      <c r="Q334" s="504">
        <f t="shared" ca="1" si="49"/>
        <v>44178</v>
      </c>
    </row>
    <row r="335" spans="2:17">
      <c r="B335" s="226" t="str">
        <f t="shared" si="50"/>
        <v/>
      </c>
      <c r="C335" s="227">
        <f t="shared" ref="C335:C398" si="57">C334+1</f>
        <v>44134</v>
      </c>
      <c r="D335" s="228">
        <f t="shared" ref="D335:D398" si="58">IF(C335&lt;&gt;"",WEEKDAY(C335,2),"")</f>
        <v>5</v>
      </c>
      <c r="E335" s="229">
        <f t="shared" si="51"/>
        <v>44134</v>
      </c>
      <c r="F335" s="228">
        <f t="shared" si="52"/>
        <v>0</v>
      </c>
      <c r="G335" s="230" t="str">
        <f t="shared" si="53"/>
        <v/>
      </c>
      <c r="H335" s="231" t="str">
        <f t="shared" si="54"/>
        <v/>
      </c>
      <c r="I335" s="228">
        <f t="shared" si="55"/>
        <v>0</v>
      </c>
      <c r="J335" s="228">
        <f t="shared" si="56"/>
        <v>223</v>
      </c>
      <c r="Q335" s="504">
        <f t="shared" ref="Q335:Q398" ca="1" si="59">Q334+1</f>
        <v>44179</v>
      </c>
    </row>
    <row r="336" spans="2:17">
      <c r="B336" s="226" t="str">
        <f t="shared" si="50"/>
        <v/>
      </c>
      <c r="C336" s="227">
        <f t="shared" si="57"/>
        <v>44135</v>
      </c>
      <c r="D336" s="228">
        <f t="shared" si="58"/>
        <v>6</v>
      </c>
      <c r="E336" s="229">
        <f t="shared" si="51"/>
        <v>44135</v>
      </c>
      <c r="F336" s="228">
        <f t="shared" si="52"/>
        <v>0</v>
      </c>
      <c r="G336" s="230" t="str">
        <f t="shared" si="53"/>
        <v/>
      </c>
      <c r="H336" s="231" t="str">
        <f t="shared" si="54"/>
        <v/>
      </c>
      <c r="I336" s="228">
        <f t="shared" si="55"/>
        <v>1</v>
      </c>
      <c r="J336" s="228">
        <f t="shared" si="56"/>
        <v>223</v>
      </c>
      <c r="Q336" s="504">
        <f t="shared" ca="1" si="59"/>
        <v>44180</v>
      </c>
    </row>
    <row r="337" spans="2:17">
      <c r="B337" s="226" t="str">
        <f t="shared" si="50"/>
        <v/>
      </c>
      <c r="C337" s="227">
        <f t="shared" si="57"/>
        <v>44136</v>
      </c>
      <c r="D337" s="228">
        <f t="shared" si="58"/>
        <v>7</v>
      </c>
      <c r="E337" s="229">
        <f t="shared" si="51"/>
        <v>44136</v>
      </c>
      <c r="F337" s="228">
        <f t="shared" si="52"/>
        <v>0</v>
      </c>
      <c r="G337" s="230" t="str">
        <f t="shared" si="53"/>
        <v/>
      </c>
      <c r="H337" s="231" t="str">
        <f t="shared" si="54"/>
        <v/>
      </c>
      <c r="I337" s="228">
        <f t="shared" si="55"/>
        <v>1</v>
      </c>
      <c r="J337" s="228">
        <f t="shared" si="56"/>
        <v>223</v>
      </c>
      <c r="Q337" s="504">
        <f t="shared" ca="1" si="59"/>
        <v>44181</v>
      </c>
    </row>
    <row r="338" spans="2:17">
      <c r="B338" s="226" t="str">
        <f t="shared" si="50"/>
        <v/>
      </c>
      <c r="C338" s="227">
        <f t="shared" si="57"/>
        <v>44137</v>
      </c>
      <c r="D338" s="228">
        <f t="shared" si="58"/>
        <v>1</v>
      </c>
      <c r="E338" s="229">
        <f t="shared" si="51"/>
        <v>44137</v>
      </c>
      <c r="F338" s="228">
        <f t="shared" si="52"/>
        <v>0</v>
      </c>
      <c r="G338" s="230" t="str">
        <f t="shared" si="53"/>
        <v/>
      </c>
      <c r="H338" s="231" t="str">
        <f t="shared" si="54"/>
        <v/>
      </c>
      <c r="I338" s="228">
        <f t="shared" si="55"/>
        <v>0</v>
      </c>
      <c r="J338" s="228">
        <f t="shared" si="56"/>
        <v>224</v>
      </c>
      <c r="Q338" s="504">
        <f t="shared" ca="1" si="59"/>
        <v>44182</v>
      </c>
    </row>
    <row r="339" spans="2:17">
      <c r="B339" s="226" t="str">
        <f t="shared" si="50"/>
        <v/>
      </c>
      <c r="C339" s="227">
        <f t="shared" si="57"/>
        <v>44138</v>
      </c>
      <c r="D339" s="228">
        <f t="shared" si="58"/>
        <v>2</v>
      </c>
      <c r="E339" s="229">
        <f t="shared" si="51"/>
        <v>44138</v>
      </c>
      <c r="F339" s="228">
        <f t="shared" si="52"/>
        <v>0</v>
      </c>
      <c r="G339" s="230" t="str">
        <f t="shared" si="53"/>
        <v/>
      </c>
      <c r="H339" s="231" t="str">
        <f t="shared" si="54"/>
        <v/>
      </c>
      <c r="I339" s="228">
        <f t="shared" si="55"/>
        <v>0</v>
      </c>
      <c r="J339" s="228">
        <f t="shared" si="56"/>
        <v>225</v>
      </c>
      <c r="Q339" s="504">
        <f t="shared" ca="1" si="59"/>
        <v>44183</v>
      </c>
    </row>
    <row r="340" spans="2:17">
      <c r="B340" s="226" t="str">
        <f t="shared" si="50"/>
        <v/>
      </c>
      <c r="C340" s="227">
        <f t="shared" si="57"/>
        <v>44139</v>
      </c>
      <c r="D340" s="228">
        <f t="shared" si="58"/>
        <v>3</v>
      </c>
      <c r="E340" s="229">
        <f t="shared" si="51"/>
        <v>44139</v>
      </c>
      <c r="F340" s="228">
        <f t="shared" si="52"/>
        <v>0</v>
      </c>
      <c r="G340" s="230" t="str">
        <f t="shared" si="53"/>
        <v/>
      </c>
      <c r="H340" s="231" t="str">
        <f t="shared" si="54"/>
        <v/>
      </c>
      <c r="I340" s="228">
        <f t="shared" si="55"/>
        <v>0</v>
      </c>
      <c r="J340" s="228">
        <f t="shared" si="56"/>
        <v>226</v>
      </c>
      <c r="Q340" s="504">
        <f t="shared" ca="1" si="59"/>
        <v>44184</v>
      </c>
    </row>
    <row r="341" spans="2:17">
      <c r="B341" s="226" t="str">
        <f t="shared" si="50"/>
        <v/>
      </c>
      <c r="C341" s="227">
        <f t="shared" si="57"/>
        <v>44140</v>
      </c>
      <c r="D341" s="228">
        <f t="shared" si="58"/>
        <v>4</v>
      </c>
      <c r="E341" s="229">
        <f t="shared" si="51"/>
        <v>44140</v>
      </c>
      <c r="F341" s="228">
        <f t="shared" si="52"/>
        <v>0</v>
      </c>
      <c r="G341" s="230" t="str">
        <f t="shared" si="53"/>
        <v/>
      </c>
      <c r="H341" s="231" t="str">
        <f t="shared" si="54"/>
        <v/>
      </c>
      <c r="I341" s="228">
        <f t="shared" si="55"/>
        <v>0</v>
      </c>
      <c r="J341" s="228">
        <f t="shared" si="56"/>
        <v>227</v>
      </c>
      <c r="Q341" s="504">
        <f t="shared" ca="1" si="59"/>
        <v>44185</v>
      </c>
    </row>
    <row r="342" spans="2:17">
      <c r="B342" s="226" t="str">
        <f t="shared" si="50"/>
        <v/>
      </c>
      <c r="C342" s="227">
        <f t="shared" si="57"/>
        <v>44141</v>
      </c>
      <c r="D342" s="228">
        <f t="shared" si="58"/>
        <v>5</v>
      </c>
      <c r="E342" s="229">
        <f t="shared" si="51"/>
        <v>44141</v>
      </c>
      <c r="F342" s="228">
        <f t="shared" si="52"/>
        <v>0</v>
      </c>
      <c r="G342" s="230" t="str">
        <f t="shared" si="53"/>
        <v/>
      </c>
      <c r="H342" s="231" t="str">
        <f t="shared" si="54"/>
        <v/>
      </c>
      <c r="I342" s="228">
        <f t="shared" si="55"/>
        <v>0</v>
      </c>
      <c r="J342" s="228">
        <f t="shared" si="56"/>
        <v>228</v>
      </c>
      <c r="Q342" s="504">
        <f t="shared" ca="1" si="59"/>
        <v>44186</v>
      </c>
    </row>
    <row r="343" spans="2:17">
      <c r="B343" s="226" t="str">
        <f t="shared" si="50"/>
        <v/>
      </c>
      <c r="C343" s="227">
        <f t="shared" si="57"/>
        <v>44142</v>
      </c>
      <c r="D343" s="228">
        <f t="shared" si="58"/>
        <v>6</v>
      </c>
      <c r="E343" s="229">
        <f t="shared" si="51"/>
        <v>44142</v>
      </c>
      <c r="F343" s="228">
        <f t="shared" si="52"/>
        <v>0</v>
      </c>
      <c r="G343" s="230" t="str">
        <f t="shared" si="53"/>
        <v/>
      </c>
      <c r="H343" s="231" t="str">
        <f t="shared" si="54"/>
        <v/>
      </c>
      <c r="I343" s="228">
        <f t="shared" si="55"/>
        <v>1</v>
      </c>
      <c r="J343" s="228">
        <f t="shared" si="56"/>
        <v>228</v>
      </c>
      <c r="Q343" s="504">
        <f t="shared" ca="1" si="59"/>
        <v>44187</v>
      </c>
    </row>
    <row r="344" spans="2:17">
      <c r="B344" s="226" t="str">
        <f t="shared" si="50"/>
        <v/>
      </c>
      <c r="C344" s="227">
        <f t="shared" si="57"/>
        <v>44143</v>
      </c>
      <c r="D344" s="228">
        <f t="shared" si="58"/>
        <v>7</v>
      </c>
      <c r="E344" s="229">
        <f t="shared" si="51"/>
        <v>44143</v>
      </c>
      <c r="F344" s="228">
        <f t="shared" si="52"/>
        <v>0</v>
      </c>
      <c r="G344" s="230" t="str">
        <f t="shared" si="53"/>
        <v/>
      </c>
      <c r="H344" s="231" t="str">
        <f t="shared" si="54"/>
        <v/>
      </c>
      <c r="I344" s="228">
        <f t="shared" si="55"/>
        <v>1</v>
      </c>
      <c r="J344" s="228">
        <f t="shared" si="56"/>
        <v>228</v>
      </c>
      <c r="Q344" s="504">
        <f t="shared" ca="1" si="59"/>
        <v>44188</v>
      </c>
    </row>
    <row r="345" spans="2:17">
      <c r="B345" s="226" t="str">
        <f t="shared" si="50"/>
        <v/>
      </c>
      <c r="C345" s="227">
        <f t="shared" si="57"/>
        <v>44144</v>
      </c>
      <c r="D345" s="228">
        <f t="shared" si="58"/>
        <v>1</v>
      </c>
      <c r="E345" s="229">
        <f t="shared" si="51"/>
        <v>44144</v>
      </c>
      <c r="F345" s="228">
        <f t="shared" si="52"/>
        <v>0</v>
      </c>
      <c r="G345" s="230" t="str">
        <f t="shared" si="53"/>
        <v/>
      </c>
      <c r="H345" s="231" t="str">
        <f t="shared" si="54"/>
        <v/>
      </c>
      <c r="I345" s="228">
        <f t="shared" si="55"/>
        <v>0</v>
      </c>
      <c r="J345" s="228">
        <f t="shared" si="56"/>
        <v>229</v>
      </c>
      <c r="Q345" s="504">
        <f t="shared" ca="1" si="59"/>
        <v>44189</v>
      </c>
    </row>
    <row r="346" spans="2:17">
      <c r="B346" s="226" t="str">
        <f t="shared" si="50"/>
        <v/>
      </c>
      <c r="C346" s="227">
        <f t="shared" si="57"/>
        <v>44145</v>
      </c>
      <c r="D346" s="228">
        <f t="shared" si="58"/>
        <v>2</v>
      </c>
      <c r="E346" s="229">
        <f t="shared" si="51"/>
        <v>44145</v>
      </c>
      <c r="F346" s="228">
        <f t="shared" si="52"/>
        <v>0</v>
      </c>
      <c r="G346" s="230" t="str">
        <f t="shared" si="53"/>
        <v/>
      </c>
      <c r="H346" s="231" t="str">
        <f t="shared" si="54"/>
        <v/>
      </c>
      <c r="I346" s="228">
        <f t="shared" si="55"/>
        <v>0</v>
      </c>
      <c r="J346" s="228">
        <f t="shared" si="56"/>
        <v>230</v>
      </c>
      <c r="Q346" s="504">
        <f t="shared" ca="1" si="59"/>
        <v>44190</v>
      </c>
    </row>
    <row r="347" spans="2:17">
      <c r="B347" s="226" t="str">
        <f t="shared" si="50"/>
        <v/>
      </c>
      <c r="C347" s="227">
        <f t="shared" si="57"/>
        <v>44146</v>
      </c>
      <c r="D347" s="228">
        <f t="shared" si="58"/>
        <v>3</v>
      </c>
      <c r="E347" s="229">
        <f t="shared" si="51"/>
        <v>44146</v>
      </c>
      <c r="F347" s="228">
        <f t="shared" si="52"/>
        <v>0</v>
      </c>
      <c r="G347" s="230" t="str">
        <f t="shared" si="53"/>
        <v/>
      </c>
      <c r="H347" s="231" t="str">
        <f t="shared" si="54"/>
        <v/>
      </c>
      <c r="I347" s="228">
        <f t="shared" si="55"/>
        <v>0</v>
      </c>
      <c r="J347" s="228">
        <f t="shared" si="56"/>
        <v>231</v>
      </c>
      <c r="Q347" s="504">
        <f t="shared" ca="1" si="59"/>
        <v>44191</v>
      </c>
    </row>
    <row r="348" spans="2:17">
      <c r="B348" s="226" t="str">
        <f t="shared" si="50"/>
        <v/>
      </c>
      <c r="C348" s="227">
        <f t="shared" si="57"/>
        <v>44147</v>
      </c>
      <c r="D348" s="228">
        <f t="shared" si="58"/>
        <v>4</v>
      </c>
      <c r="E348" s="229">
        <f t="shared" si="51"/>
        <v>44147</v>
      </c>
      <c r="F348" s="228">
        <f t="shared" si="52"/>
        <v>0</v>
      </c>
      <c r="G348" s="230" t="str">
        <f t="shared" si="53"/>
        <v/>
      </c>
      <c r="H348" s="231" t="str">
        <f t="shared" si="54"/>
        <v/>
      </c>
      <c r="I348" s="228">
        <f t="shared" si="55"/>
        <v>0</v>
      </c>
      <c r="J348" s="228">
        <f t="shared" si="56"/>
        <v>232</v>
      </c>
      <c r="Q348" s="504">
        <f t="shared" ca="1" si="59"/>
        <v>44192</v>
      </c>
    </row>
    <row r="349" spans="2:17">
      <c r="B349" s="226" t="str">
        <f t="shared" si="50"/>
        <v/>
      </c>
      <c r="C349" s="227">
        <f t="shared" si="57"/>
        <v>44148</v>
      </c>
      <c r="D349" s="228">
        <f t="shared" si="58"/>
        <v>5</v>
      </c>
      <c r="E349" s="229">
        <f t="shared" si="51"/>
        <v>44148</v>
      </c>
      <c r="F349" s="228">
        <f t="shared" si="52"/>
        <v>0</v>
      </c>
      <c r="G349" s="230" t="str">
        <f t="shared" si="53"/>
        <v/>
      </c>
      <c r="H349" s="231" t="str">
        <f t="shared" si="54"/>
        <v/>
      </c>
      <c r="I349" s="228">
        <f t="shared" si="55"/>
        <v>0</v>
      </c>
      <c r="J349" s="228">
        <f t="shared" si="56"/>
        <v>233</v>
      </c>
      <c r="Q349" s="504">
        <f t="shared" ca="1" si="59"/>
        <v>44193</v>
      </c>
    </row>
    <row r="350" spans="2:17">
      <c r="B350" s="226" t="str">
        <f t="shared" si="50"/>
        <v/>
      </c>
      <c r="C350" s="227">
        <f t="shared" si="57"/>
        <v>44149</v>
      </c>
      <c r="D350" s="228">
        <f t="shared" si="58"/>
        <v>6</v>
      </c>
      <c r="E350" s="229">
        <f t="shared" si="51"/>
        <v>44149</v>
      </c>
      <c r="F350" s="228">
        <f t="shared" si="52"/>
        <v>0</v>
      </c>
      <c r="G350" s="230" t="str">
        <f t="shared" si="53"/>
        <v/>
      </c>
      <c r="H350" s="231" t="str">
        <f t="shared" si="54"/>
        <v/>
      </c>
      <c r="I350" s="228">
        <f t="shared" si="55"/>
        <v>1</v>
      </c>
      <c r="J350" s="228">
        <f t="shared" si="56"/>
        <v>233</v>
      </c>
      <c r="Q350" s="504">
        <f t="shared" ca="1" si="59"/>
        <v>44194</v>
      </c>
    </row>
    <row r="351" spans="2:17">
      <c r="B351" s="226" t="str">
        <f t="shared" si="50"/>
        <v/>
      </c>
      <c r="C351" s="227">
        <f t="shared" si="57"/>
        <v>44150</v>
      </c>
      <c r="D351" s="228">
        <f t="shared" si="58"/>
        <v>7</v>
      </c>
      <c r="E351" s="229">
        <f t="shared" si="51"/>
        <v>44150</v>
      </c>
      <c r="F351" s="228">
        <f t="shared" si="52"/>
        <v>0</v>
      </c>
      <c r="G351" s="230" t="str">
        <f t="shared" si="53"/>
        <v/>
      </c>
      <c r="H351" s="231" t="str">
        <f t="shared" si="54"/>
        <v/>
      </c>
      <c r="I351" s="228">
        <f t="shared" si="55"/>
        <v>1</v>
      </c>
      <c r="J351" s="228">
        <f t="shared" si="56"/>
        <v>233</v>
      </c>
      <c r="Q351" s="504">
        <f t="shared" ca="1" si="59"/>
        <v>44195</v>
      </c>
    </row>
    <row r="352" spans="2:17">
      <c r="B352" s="226" t="str">
        <f t="shared" si="50"/>
        <v/>
      </c>
      <c r="C352" s="227">
        <f t="shared" si="57"/>
        <v>44151</v>
      </c>
      <c r="D352" s="228">
        <f t="shared" si="58"/>
        <v>1</v>
      </c>
      <c r="E352" s="229">
        <f t="shared" si="51"/>
        <v>44151</v>
      </c>
      <c r="F352" s="228">
        <f t="shared" si="52"/>
        <v>0</v>
      </c>
      <c r="G352" s="230" t="str">
        <f t="shared" si="53"/>
        <v/>
      </c>
      <c r="H352" s="231" t="str">
        <f t="shared" si="54"/>
        <v/>
      </c>
      <c r="I352" s="228">
        <f t="shared" si="55"/>
        <v>0</v>
      </c>
      <c r="J352" s="228">
        <f t="shared" si="56"/>
        <v>234</v>
      </c>
      <c r="Q352" s="504">
        <f t="shared" ca="1" si="59"/>
        <v>44196</v>
      </c>
    </row>
    <row r="353" spans="2:17">
      <c r="B353" s="226" t="str">
        <f t="shared" si="50"/>
        <v/>
      </c>
      <c r="C353" s="227">
        <f t="shared" si="57"/>
        <v>44152</v>
      </c>
      <c r="D353" s="228">
        <f t="shared" si="58"/>
        <v>2</v>
      </c>
      <c r="E353" s="229">
        <f t="shared" si="51"/>
        <v>44152</v>
      </c>
      <c r="F353" s="228">
        <f t="shared" si="52"/>
        <v>0</v>
      </c>
      <c r="G353" s="230" t="str">
        <f t="shared" si="53"/>
        <v/>
      </c>
      <c r="H353" s="231" t="str">
        <f t="shared" si="54"/>
        <v/>
      </c>
      <c r="I353" s="228">
        <f t="shared" si="55"/>
        <v>0</v>
      </c>
      <c r="J353" s="228">
        <f t="shared" si="56"/>
        <v>235</v>
      </c>
      <c r="Q353" s="504">
        <f t="shared" ca="1" si="59"/>
        <v>44197</v>
      </c>
    </row>
    <row r="354" spans="2:17">
      <c r="B354" s="226" t="str">
        <f t="shared" si="50"/>
        <v/>
      </c>
      <c r="C354" s="227">
        <f t="shared" si="57"/>
        <v>44153</v>
      </c>
      <c r="D354" s="228">
        <f t="shared" si="58"/>
        <v>3</v>
      </c>
      <c r="E354" s="229">
        <f t="shared" si="51"/>
        <v>44153</v>
      </c>
      <c r="F354" s="228">
        <f t="shared" si="52"/>
        <v>0</v>
      </c>
      <c r="G354" s="230" t="str">
        <f t="shared" si="53"/>
        <v/>
      </c>
      <c r="H354" s="231" t="str">
        <f t="shared" si="54"/>
        <v/>
      </c>
      <c r="I354" s="228">
        <f t="shared" si="55"/>
        <v>0</v>
      </c>
      <c r="J354" s="228">
        <f t="shared" si="56"/>
        <v>236</v>
      </c>
      <c r="Q354" s="504">
        <f t="shared" ca="1" si="59"/>
        <v>44198</v>
      </c>
    </row>
    <row r="355" spans="2:17">
      <c r="B355" s="226" t="str">
        <f t="shared" si="50"/>
        <v/>
      </c>
      <c r="C355" s="227">
        <f t="shared" si="57"/>
        <v>44154</v>
      </c>
      <c r="D355" s="228">
        <f t="shared" si="58"/>
        <v>4</v>
      </c>
      <c r="E355" s="229">
        <f t="shared" si="51"/>
        <v>44154</v>
      </c>
      <c r="F355" s="228">
        <f t="shared" si="52"/>
        <v>0</v>
      </c>
      <c r="G355" s="230" t="str">
        <f t="shared" si="53"/>
        <v/>
      </c>
      <c r="H355" s="231" t="str">
        <f t="shared" si="54"/>
        <v/>
      </c>
      <c r="I355" s="228">
        <f t="shared" si="55"/>
        <v>0</v>
      </c>
      <c r="J355" s="228">
        <f t="shared" si="56"/>
        <v>237</v>
      </c>
      <c r="Q355" s="504">
        <f t="shared" ca="1" si="59"/>
        <v>44199</v>
      </c>
    </row>
    <row r="356" spans="2:17">
      <c r="B356" s="226" t="str">
        <f t="shared" si="50"/>
        <v/>
      </c>
      <c r="C356" s="227">
        <f t="shared" si="57"/>
        <v>44155</v>
      </c>
      <c r="D356" s="228">
        <f t="shared" si="58"/>
        <v>5</v>
      </c>
      <c r="E356" s="229">
        <f t="shared" si="51"/>
        <v>44155</v>
      </c>
      <c r="F356" s="228">
        <f t="shared" si="52"/>
        <v>0</v>
      </c>
      <c r="G356" s="230" t="str">
        <f t="shared" si="53"/>
        <v/>
      </c>
      <c r="H356" s="231" t="str">
        <f t="shared" si="54"/>
        <v/>
      </c>
      <c r="I356" s="228">
        <f t="shared" si="55"/>
        <v>0</v>
      </c>
      <c r="J356" s="228">
        <f t="shared" si="56"/>
        <v>238</v>
      </c>
      <c r="Q356" s="504">
        <f t="shared" ca="1" si="59"/>
        <v>44200</v>
      </c>
    </row>
    <row r="357" spans="2:17">
      <c r="B357" s="226" t="str">
        <f t="shared" si="50"/>
        <v/>
      </c>
      <c r="C357" s="227">
        <f t="shared" si="57"/>
        <v>44156</v>
      </c>
      <c r="D357" s="228">
        <f t="shared" si="58"/>
        <v>6</v>
      </c>
      <c r="E357" s="229">
        <f t="shared" si="51"/>
        <v>44156</v>
      </c>
      <c r="F357" s="228">
        <f t="shared" si="52"/>
        <v>0</v>
      </c>
      <c r="G357" s="230" t="str">
        <f t="shared" si="53"/>
        <v/>
      </c>
      <c r="H357" s="231" t="str">
        <f t="shared" si="54"/>
        <v/>
      </c>
      <c r="I357" s="228">
        <f t="shared" si="55"/>
        <v>1</v>
      </c>
      <c r="J357" s="228">
        <f t="shared" si="56"/>
        <v>238</v>
      </c>
      <c r="Q357" s="504">
        <f t="shared" ca="1" si="59"/>
        <v>44201</v>
      </c>
    </row>
    <row r="358" spans="2:17">
      <c r="B358" s="226" t="str">
        <f t="shared" si="50"/>
        <v/>
      </c>
      <c r="C358" s="227">
        <f t="shared" si="57"/>
        <v>44157</v>
      </c>
      <c r="D358" s="228">
        <f t="shared" si="58"/>
        <v>7</v>
      </c>
      <c r="E358" s="229">
        <f t="shared" si="51"/>
        <v>44157</v>
      </c>
      <c r="F358" s="228">
        <f t="shared" si="52"/>
        <v>0</v>
      </c>
      <c r="G358" s="230" t="str">
        <f t="shared" si="53"/>
        <v/>
      </c>
      <c r="H358" s="231" t="str">
        <f t="shared" si="54"/>
        <v/>
      </c>
      <c r="I358" s="228">
        <f t="shared" si="55"/>
        <v>1</v>
      </c>
      <c r="J358" s="228">
        <f t="shared" si="56"/>
        <v>238</v>
      </c>
      <c r="Q358" s="504">
        <f t="shared" ca="1" si="59"/>
        <v>44202</v>
      </c>
    </row>
    <row r="359" spans="2:17">
      <c r="B359" s="226" t="str">
        <f t="shared" si="50"/>
        <v/>
      </c>
      <c r="C359" s="227">
        <f t="shared" si="57"/>
        <v>44158</v>
      </c>
      <c r="D359" s="228">
        <f t="shared" si="58"/>
        <v>1</v>
      </c>
      <c r="E359" s="229">
        <f t="shared" si="51"/>
        <v>44158</v>
      </c>
      <c r="F359" s="228">
        <f t="shared" si="52"/>
        <v>0</v>
      </c>
      <c r="G359" s="230" t="str">
        <f t="shared" si="53"/>
        <v/>
      </c>
      <c r="H359" s="231" t="str">
        <f t="shared" si="54"/>
        <v/>
      </c>
      <c r="I359" s="228">
        <f t="shared" si="55"/>
        <v>0</v>
      </c>
      <c r="J359" s="228">
        <f t="shared" si="56"/>
        <v>239</v>
      </c>
      <c r="Q359" s="504">
        <f t="shared" ca="1" si="59"/>
        <v>44203</v>
      </c>
    </row>
    <row r="360" spans="2:17">
      <c r="B360" s="226" t="str">
        <f t="shared" si="50"/>
        <v/>
      </c>
      <c r="C360" s="227">
        <f t="shared" si="57"/>
        <v>44159</v>
      </c>
      <c r="D360" s="228">
        <f t="shared" si="58"/>
        <v>2</v>
      </c>
      <c r="E360" s="229">
        <f t="shared" si="51"/>
        <v>44159</v>
      </c>
      <c r="F360" s="228">
        <f t="shared" si="52"/>
        <v>0</v>
      </c>
      <c r="G360" s="230" t="str">
        <f t="shared" si="53"/>
        <v/>
      </c>
      <c r="H360" s="231" t="str">
        <f t="shared" si="54"/>
        <v/>
      </c>
      <c r="I360" s="228">
        <f t="shared" si="55"/>
        <v>0</v>
      </c>
      <c r="J360" s="228">
        <f t="shared" si="56"/>
        <v>240</v>
      </c>
      <c r="Q360" s="504">
        <f t="shared" ca="1" si="59"/>
        <v>44204</v>
      </c>
    </row>
    <row r="361" spans="2:17">
      <c r="B361" s="226" t="str">
        <f t="shared" si="50"/>
        <v/>
      </c>
      <c r="C361" s="227">
        <f t="shared" si="57"/>
        <v>44160</v>
      </c>
      <c r="D361" s="228">
        <f t="shared" si="58"/>
        <v>3</v>
      </c>
      <c r="E361" s="229">
        <f t="shared" si="51"/>
        <v>44160</v>
      </c>
      <c r="F361" s="228">
        <f t="shared" si="52"/>
        <v>0</v>
      </c>
      <c r="G361" s="230" t="str">
        <f t="shared" si="53"/>
        <v/>
      </c>
      <c r="H361" s="231" t="str">
        <f t="shared" si="54"/>
        <v/>
      </c>
      <c r="I361" s="228">
        <f t="shared" si="55"/>
        <v>0</v>
      </c>
      <c r="J361" s="228">
        <f t="shared" si="56"/>
        <v>241</v>
      </c>
      <c r="Q361" s="504">
        <f t="shared" ca="1" si="59"/>
        <v>44205</v>
      </c>
    </row>
    <row r="362" spans="2:17">
      <c r="B362" s="226" t="str">
        <f t="shared" si="50"/>
        <v/>
      </c>
      <c r="C362" s="227">
        <f t="shared" si="57"/>
        <v>44161</v>
      </c>
      <c r="D362" s="228">
        <f t="shared" si="58"/>
        <v>4</v>
      </c>
      <c r="E362" s="229">
        <f t="shared" si="51"/>
        <v>44161</v>
      </c>
      <c r="F362" s="228">
        <f t="shared" si="52"/>
        <v>0</v>
      </c>
      <c r="G362" s="230" t="str">
        <f t="shared" si="53"/>
        <v/>
      </c>
      <c r="H362" s="231" t="str">
        <f t="shared" si="54"/>
        <v/>
      </c>
      <c r="I362" s="228">
        <f t="shared" si="55"/>
        <v>0</v>
      </c>
      <c r="J362" s="228">
        <f t="shared" si="56"/>
        <v>242</v>
      </c>
      <c r="Q362" s="504">
        <f t="shared" ca="1" si="59"/>
        <v>44206</v>
      </c>
    </row>
    <row r="363" spans="2:17">
      <c r="B363" s="226" t="str">
        <f t="shared" si="50"/>
        <v/>
      </c>
      <c r="C363" s="227">
        <f t="shared" si="57"/>
        <v>44162</v>
      </c>
      <c r="D363" s="228">
        <f t="shared" si="58"/>
        <v>5</v>
      </c>
      <c r="E363" s="229">
        <f t="shared" si="51"/>
        <v>44162</v>
      </c>
      <c r="F363" s="228">
        <f t="shared" si="52"/>
        <v>0</v>
      </c>
      <c r="G363" s="230" t="str">
        <f t="shared" si="53"/>
        <v/>
      </c>
      <c r="H363" s="231" t="str">
        <f t="shared" si="54"/>
        <v/>
      </c>
      <c r="I363" s="228">
        <f t="shared" si="55"/>
        <v>0</v>
      </c>
      <c r="J363" s="228">
        <f t="shared" si="56"/>
        <v>243</v>
      </c>
      <c r="Q363" s="504">
        <f t="shared" ca="1" si="59"/>
        <v>44207</v>
      </c>
    </row>
    <row r="364" spans="2:17">
      <c r="B364" s="226" t="str">
        <f t="shared" si="50"/>
        <v/>
      </c>
      <c r="C364" s="227">
        <f t="shared" si="57"/>
        <v>44163</v>
      </c>
      <c r="D364" s="228">
        <f t="shared" si="58"/>
        <v>6</v>
      </c>
      <c r="E364" s="229">
        <f t="shared" si="51"/>
        <v>44163</v>
      </c>
      <c r="F364" s="228">
        <f t="shared" si="52"/>
        <v>0</v>
      </c>
      <c r="G364" s="230" t="str">
        <f t="shared" si="53"/>
        <v/>
      </c>
      <c r="H364" s="231" t="str">
        <f t="shared" si="54"/>
        <v/>
      </c>
      <c r="I364" s="228">
        <f t="shared" si="55"/>
        <v>1</v>
      </c>
      <c r="J364" s="228">
        <f t="shared" si="56"/>
        <v>243</v>
      </c>
      <c r="Q364" s="504">
        <f t="shared" ca="1" si="59"/>
        <v>44208</v>
      </c>
    </row>
    <row r="365" spans="2:17">
      <c r="B365" s="226" t="str">
        <f t="shared" si="50"/>
        <v/>
      </c>
      <c r="C365" s="227">
        <f t="shared" si="57"/>
        <v>44164</v>
      </c>
      <c r="D365" s="228">
        <f t="shared" si="58"/>
        <v>7</v>
      </c>
      <c r="E365" s="229">
        <f t="shared" si="51"/>
        <v>44164</v>
      </c>
      <c r="F365" s="228">
        <f t="shared" si="52"/>
        <v>0</v>
      </c>
      <c r="G365" s="230" t="str">
        <f t="shared" si="53"/>
        <v/>
      </c>
      <c r="H365" s="231" t="str">
        <f t="shared" si="54"/>
        <v/>
      </c>
      <c r="I365" s="228">
        <f t="shared" si="55"/>
        <v>1</v>
      </c>
      <c r="J365" s="228">
        <f t="shared" si="56"/>
        <v>243</v>
      </c>
      <c r="Q365" s="504">
        <f t="shared" ca="1" si="59"/>
        <v>44209</v>
      </c>
    </row>
    <row r="366" spans="2:17">
      <c r="B366" s="226" t="str">
        <f t="shared" si="50"/>
        <v/>
      </c>
      <c r="C366" s="227">
        <f t="shared" si="57"/>
        <v>44165</v>
      </c>
      <c r="D366" s="228">
        <f t="shared" si="58"/>
        <v>1</v>
      </c>
      <c r="E366" s="229">
        <f t="shared" si="51"/>
        <v>44165</v>
      </c>
      <c r="F366" s="228">
        <f t="shared" si="52"/>
        <v>0</v>
      </c>
      <c r="G366" s="230" t="str">
        <f t="shared" si="53"/>
        <v/>
      </c>
      <c r="H366" s="231" t="str">
        <f t="shared" si="54"/>
        <v/>
      </c>
      <c r="I366" s="228">
        <f t="shared" si="55"/>
        <v>0</v>
      </c>
      <c r="J366" s="228">
        <f t="shared" si="56"/>
        <v>244</v>
      </c>
      <c r="Q366" s="504">
        <f t="shared" ca="1" si="59"/>
        <v>44210</v>
      </c>
    </row>
    <row r="367" spans="2:17">
      <c r="B367" s="226" t="str">
        <f t="shared" si="50"/>
        <v/>
      </c>
      <c r="C367" s="227">
        <f t="shared" si="57"/>
        <v>44166</v>
      </c>
      <c r="D367" s="228">
        <f t="shared" si="58"/>
        <v>2</v>
      </c>
      <c r="E367" s="229">
        <f t="shared" si="51"/>
        <v>44166</v>
      </c>
      <c r="F367" s="228">
        <f t="shared" si="52"/>
        <v>0</v>
      </c>
      <c r="G367" s="230" t="str">
        <f t="shared" si="53"/>
        <v/>
      </c>
      <c r="H367" s="231" t="str">
        <f t="shared" si="54"/>
        <v/>
      </c>
      <c r="I367" s="228">
        <f t="shared" si="55"/>
        <v>0</v>
      </c>
      <c r="J367" s="228">
        <f t="shared" si="56"/>
        <v>245</v>
      </c>
      <c r="Q367" s="504">
        <f t="shared" ca="1" si="59"/>
        <v>44211</v>
      </c>
    </row>
    <row r="368" spans="2:17">
      <c r="B368" s="226" t="str">
        <f t="shared" si="50"/>
        <v/>
      </c>
      <c r="C368" s="227">
        <f t="shared" si="57"/>
        <v>44167</v>
      </c>
      <c r="D368" s="228">
        <f t="shared" si="58"/>
        <v>3</v>
      </c>
      <c r="E368" s="229">
        <f t="shared" si="51"/>
        <v>44167</v>
      </c>
      <c r="F368" s="228">
        <f t="shared" si="52"/>
        <v>0</v>
      </c>
      <c r="G368" s="230" t="str">
        <f t="shared" si="53"/>
        <v/>
      </c>
      <c r="H368" s="231" t="str">
        <f t="shared" si="54"/>
        <v/>
      </c>
      <c r="I368" s="228">
        <f t="shared" si="55"/>
        <v>0</v>
      </c>
      <c r="J368" s="228">
        <f t="shared" si="56"/>
        <v>246</v>
      </c>
      <c r="Q368" s="504">
        <f t="shared" ca="1" si="59"/>
        <v>44212</v>
      </c>
    </row>
    <row r="369" spans="2:17">
      <c r="B369" s="226" t="str">
        <f t="shared" si="50"/>
        <v/>
      </c>
      <c r="C369" s="227">
        <f t="shared" si="57"/>
        <v>44168</v>
      </c>
      <c r="D369" s="228">
        <f t="shared" si="58"/>
        <v>4</v>
      </c>
      <c r="E369" s="229">
        <f t="shared" si="51"/>
        <v>44168</v>
      </c>
      <c r="F369" s="228">
        <f t="shared" si="52"/>
        <v>0</v>
      </c>
      <c r="G369" s="230" t="str">
        <f t="shared" si="53"/>
        <v/>
      </c>
      <c r="H369" s="231" t="str">
        <f t="shared" si="54"/>
        <v/>
      </c>
      <c r="I369" s="228">
        <f t="shared" si="55"/>
        <v>0</v>
      </c>
      <c r="J369" s="228">
        <f t="shared" si="56"/>
        <v>247</v>
      </c>
      <c r="Q369" s="504">
        <f t="shared" ca="1" si="59"/>
        <v>44213</v>
      </c>
    </row>
    <row r="370" spans="2:17">
      <c r="B370" s="226" t="str">
        <f t="shared" si="50"/>
        <v/>
      </c>
      <c r="C370" s="227">
        <f t="shared" si="57"/>
        <v>44169</v>
      </c>
      <c r="D370" s="228">
        <f t="shared" si="58"/>
        <v>5</v>
      </c>
      <c r="E370" s="229">
        <f t="shared" si="51"/>
        <v>44169</v>
      </c>
      <c r="F370" s="228">
        <f t="shared" si="52"/>
        <v>0</v>
      </c>
      <c r="G370" s="230" t="str">
        <f t="shared" si="53"/>
        <v/>
      </c>
      <c r="H370" s="231" t="str">
        <f t="shared" si="54"/>
        <v/>
      </c>
      <c r="I370" s="228">
        <f t="shared" si="55"/>
        <v>0</v>
      </c>
      <c r="J370" s="228">
        <f t="shared" si="56"/>
        <v>248</v>
      </c>
      <c r="Q370" s="504">
        <f t="shared" ca="1" si="59"/>
        <v>44214</v>
      </c>
    </row>
    <row r="371" spans="2:17">
      <c r="B371" s="226" t="str">
        <f t="shared" si="50"/>
        <v/>
      </c>
      <c r="C371" s="227">
        <f t="shared" si="57"/>
        <v>44170</v>
      </c>
      <c r="D371" s="228">
        <f t="shared" si="58"/>
        <v>6</v>
      </c>
      <c r="E371" s="229">
        <f t="shared" si="51"/>
        <v>44170</v>
      </c>
      <c r="F371" s="228">
        <f t="shared" si="52"/>
        <v>0</v>
      </c>
      <c r="G371" s="230" t="str">
        <f t="shared" si="53"/>
        <v/>
      </c>
      <c r="H371" s="231" t="str">
        <f t="shared" si="54"/>
        <v/>
      </c>
      <c r="I371" s="228">
        <f t="shared" si="55"/>
        <v>1</v>
      </c>
      <c r="J371" s="228">
        <f t="shared" si="56"/>
        <v>248</v>
      </c>
      <c r="Q371" s="504">
        <f t="shared" ca="1" si="59"/>
        <v>44215</v>
      </c>
    </row>
    <row r="372" spans="2:17">
      <c r="B372" s="226" t="str">
        <f t="shared" si="50"/>
        <v/>
      </c>
      <c r="C372" s="227">
        <f t="shared" si="57"/>
        <v>44171</v>
      </c>
      <c r="D372" s="228">
        <f t="shared" si="58"/>
        <v>7</v>
      </c>
      <c r="E372" s="229">
        <f t="shared" si="51"/>
        <v>44171</v>
      </c>
      <c r="F372" s="228">
        <f t="shared" si="52"/>
        <v>0</v>
      </c>
      <c r="G372" s="230" t="str">
        <f t="shared" si="53"/>
        <v/>
      </c>
      <c r="H372" s="231" t="str">
        <f t="shared" si="54"/>
        <v/>
      </c>
      <c r="I372" s="228">
        <f t="shared" si="55"/>
        <v>1</v>
      </c>
      <c r="J372" s="228">
        <f t="shared" si="56"/>
        <v>248</v>
      </c>
      <c r="Q372" s="504">
        <f t="shared" ca="1" si="59"/>
        <v>44216</v>
      </c>
    </row>
    <row r="373" spans="2:17">
      <c r="B373" s="226" t="str">
        <f t="shared" si="50"/>
        <v/>
      </c>
      <c r="C373" s="227">
        <f t="shared" si="57"/>
        <v>44172</v>
      </c>
      <c r="D373" s="228">
        <f t="shared" si="58"/>
        <v>1</v>
      </c>
      <c r="E373" s="229">
        <f t="shared" si="51"/>
        <v>44172</v>
      </c>
      <c r="F373" s="228">
        <f t="shared" si="52"/>
        <v>0</v>
      </c>
      <c r="G373" s="230" t="str">
        <f t="shared" si="53"/>
        <v/>
      </c>
      <c r="H373" s="231" t="str">
        <f t="shared" si="54"/>
        <v/>
      </c>
      <c r="I373" s="228">
        <f t="shared" si="55"/>
        <v>0</v>
      </c>
      <c r="J373" s="228">
        <f t="shared" si="56"/>
        <v>249</v>
      </c>
      <c r="Q373" s="504">
        <f t="shared" ca="1" si="59"/>
        <v>44217</v>
      </c>
    </row>
    <row r="374" spans="2:17">
      <c r="B374" s="226" t="str">
        <f t="shared" si="50"/>
        <v/>
      </c>
      <c r="C374" s="227">
        <f t="shared" si="57"/>
        <v>44173</v>
      </c>
      <c r="D374" s="228">
        <f t="shared" si="58"/>
        <v>2</v>
      </c>
      <c r="E374" s="229">
        <f t="shared" si="51"/>
        <v>44173</v>
      </c>
      <c r="F374" s="228">
        <f t="shared" si="52"/>
        <v>0</v>
      </c>
      <c r="G374" s="230" t="str">
        <f t="shared" si="53"/>
        <v/>
      </c>
      <c r="H374" s="231" t="str">
        <f t="shared" si="54"/>
        <v/>
      </c>
      <c r="I374" s="228">
        <f t="shared" si="55"/>
        <v>0</v>
      </c>
      <c r="J374" s="228">
        <f t="shared" si="56"/>
        <v>250</v>
      </c>
      <c r="Q374" s="504">
        <f t="shared" ca="1" si="59"/>
        <v>44218</v>
      </c>
    </row>
    <row r="375" spans="2:17">
      <c r="B375" s="226" t="str">
        <f t="shared" si="50"/>
        <v/>
      </c>
      <c r="C375" s="227">
        <f t="shared" si="57"/>
        <v>44174</v>
      </c>
      <c r="D375" s="228">
        <f t="shared" si="58"/>
        <v>3</v>
      </c>
      <c r="E375" s="229">
        <f t="shared" si="51"/>
        <v>44174</v>
      </c>
      <c r="F375" s="228">
        <f t="shared" si="52"/>
        <v>0</v>
      </c>
      <c r="G375" s="230" t="str">
        <f t="shared" si="53"/>
        <v/>
      </c>
      <c r="H375" s="231" t="str">
        <f t="shared" si="54"/>
        <v/>
      </c>
      <c r="I375" s="228">
        <f t="shared" si="55"/>
        <v>0</v>
      </c>
      <c r="J375" s="228">
        <f t="shared" si="56"/>
        <v>251</v>
      </c>
      <c r="Q375" s="504">
        <f t="shared" ca="1" si="59"/>
        <v>44219</v>
      </c>
    </row>
    <row r="376" spans="2:17">
      <c r="B376" s="226" t="str">
        <f t="shared" si="50"/>
        <v/>
      </c>
      <c r="C376" s="227">
        <f t="shared" si="57"/>
        <v>44175</v>
      </c>
      <c r="D376" s="228">
        <f t="shared" si="58"/>
        <v>4</v>
      </c>
      <c r="E376" s="229">
        <f t="shared" si="51"/>
        <v>44175</v>
      </c>
      <c r="F376" s="228">
        <f t="shared" si="52"/>
        <v>0</v>
      </c>
      <c r="G376" s="230" t="str">
        <f t="shared" si="53"/>
        <v/>
      </c>
      <c r="H376" s="231" t="str">
        <f t="shared" si="54"/>
        <v/>
      </c>
      <c r="I376" s="228">
        <f t="shared" si="55"/>
        <v>0</v>
      </c>
      <c r="J376" s="228">
        <f t="shared" si="56"/>
        <v>252</v>
      </c>
      <c r="Q376" s="504">
        <f t="shared" ca="1" si="59"/>
        <v>44220</v>
      </c>
    </row>
    <row r="377" spans="2:17">
      <c r="B377" s="226" t="str">
        <f t="shared" si="50"/>
        <v/>
      </c>
      <c r="C377" s="227">
        <f t="shared" si="57"/>
        <v>44176</v>
      </c>
      <c r="D377" s="228">
        <f t="shared" si="58"/>
        <v>5</v>
      </c>
      <c r="E377" s="229">
        <f t="shared" si="51"/>
        <v>44176</v>
      </c>
      <c r="F377" s="228">
        <f t="shared" si="52"/>
        <v>0</v>
      </c>
      <c r="G377" s="230" t="str">
        <f t="shared" si="53"/>
        <v/>
      </c>
      <c r="H377" s="231" t="str">
        <f t="shared" si="54"/>
        <v/>
      </c>
      <c r="I377" s="228">
        <f t="shared" si="55"/>
        <v>0</v>
      </c>
      <c r="J377" s="228">
        <f t="shared" si="56"/>
        <v>253</v>
      </c>
      <c r="Q377" s="504">
        <f t="shared" ca="1" si="59"/>
        <v>44221</v>
      </c>
    </row>
    <row r="378" spans="2:17">
      <c r="B378" s="226" t="str">
        <f t="shared" si="50"/>
        <v/>
      </c>
      <c r="C378" s="227">
        <f t="shared" si="57"/>
        <v>44177</v>
      </c>
      <c r="D378" s="228">
        <f t="shared" si="58"/>
        <v>6</v>
      </c>
      <c r="E378" s="229">
        <f t="shared" si="51"/>
        <v>44177</v>
      </c>
      <c r="F378" s="228">
        <f t="shared" si="52"/>
        <v>0</v>
      </c>
      <c r="G378" s="230" t="str">
        <f t="shared" si="53"/>
        <v/>
      </c>
      <c r="H378" s="231" t="str">
        <f t="shared" si="54"/>
        <v/>
      </c>
      <c r="I378" s="228">
        <f t="shared" si="55"/>
        <v>1</v>
      </c>
      <c r="J378" s="228">
        <f t="shared" si="56"/>
        <v>253</v>
      </c>
      <c r="Q378" s="504">
        <f t="shared" ca="1" si="59"/>
        <v>44222</v>
      </c>
    </row>
    <row r="379" spans="2:17">
      <c r="B379" s="226" t="str">
        <f t="shared" si="50"/>
        <v/>
      </c>
      <c r="C379" s="227">
        <f t="shared" si="57"/>
        <v>44178</v>
      </c>
      <c r="D379" s="228">
        <f t="shared" si="58"/>
        <v>7</v>
      </c>
      <c r="E379" s="229">
        <f t="shared" si="51"/>
        <v>44178</v>
      </c>
      <c r="F379" s="228">
        <f t="shared" si="52"/>
        <v>0</v>
      </c>
      <c r="G379" s="230" t="str">
        <f t="shared" si="53"/>
        <v/>
      </c>
      <c r="H379" s="231" t="str">
        <f t="shared" si="54"/>
        <v/>
      </c>
      <c r="I379" s="228">
        <f t="shared" si="55"/>
        <v>1</v>
      </c>
      <c r="J379" s="228">
        <f t="shared" si="56"/>
        <v>253</v>
      </c>
      <c r="Q379" s="504">
        <f t="shared" ca="1" si="59"/>
        <v>44223</v>
      </c>
    </row>
    <row r="380" spans="2:17">
      <c r="B380" s="226" t="str">
        <f t="shared" si="50"/>
        <v/>
      </c>
      <c r="C380" s="227">
        <f t="shared" si="57"/>
        <v>44179</v>
      </c>
      <c r="D380" s="228">
        <f t="shared" si="58"/>
        <v>1</v>
      </c>
      <c r="E380" s="229">
        <f t="shared" si="51"/>
        <v>44179</v>
      </c>
      <c r="F380" s="228">
        <f t="shared" si="52"/>
        <v>0</v>
      </c>
      <c r="G380" s="230" t="str">
        <f t="shared" si="53"/>
        <v/>
      </c>
      <c r="H380" s="231" t="str">
        <f t="shared" si="54"/>
        <v/>
      </c>
      <c r="I380" s="228">
        <f t="shared" si="55"/>
        <v>0</v>
      </c>
      <c r="J380" s="228">
        <f t="shared" si="56"/>
        <v>254</v>
      </c>
      <c r="Q380" s="504">
        <f t="shared" ca="1" si="59"/>
        <v>44224</v>
      </c>
    </row>
    <row r="381" spans="2:17">
      <c r="B381" s="226" t="str">
        <f t="shared" si="50"/>
        <v/>
      </c>
      <c r="C381" s="227">
        <f t="shared" si="57"/>
        <v>44180</v>
      </c>
      <c r="D381" s="228">
        <f t="shared" si="58"/>
        <v>2</v>
      </c>
      <c r="E381" s="229">
        <f t="shared" si="51"/>
        <v>44180</v>
      </c>
      <c r="F381" s="228">
        <f t="shared" si="52"/>
        <v>0</v>
      </c>
      <c r="G381" s="230" t="str">
        <f t="shared" si="53"/>
        <v/>
      </c>
      <c r="H381" s="231" t="str">
        <f t="shared" si="54"/>
        <v/>
      </c>
      <c r="I381" s="228">
        <f t="shared" si="55"/>
        <v>0</v>
      </c>
      <c r="J381" s="228">
        <f t="shared" si="56"/>
        <v>255</v>
      </c>
      <c r="Q381" s="504">
        <f t="shared" ca="1" si="59"/>
        <v>44225</v>
      </c>
    </row>
    <row r="382" spans="2:17">
      <c r="B382" s="226" t="str">
        <f t="shared" si="50"/>
        <v/>
      </c>
      <c r="C382" s="227">
        <f t="shared" si="57"/>
        <v>44181</v>
      </c>
      <c r="D382" s="228">
        <f t="shared" si="58"/>
        <v>3</v>
      </c>
      <c r="E382" s="229">
        <f t="shared" si="51"/>
        <v>44181</v>
      </c>
      <c r="F382" s="228">
        <f t="shared" si="52"/>
        <v>0</v>
      </c>
      <c r="G382" s="230" t="str">
        <f t="shared" si="53"/>
        <v/>
      </c>
      <c r="H382" s="231" t="str">
        <f t="shared" si="54"/>
        <v/>
      </c>
      <c r="I382" s="228">
        <f t="shared" si="55"/>
        <v>0</v>
      </c>
      <c r="J382" s="228">
        <f t="shared" si="56"/>
        <v>256</v>
      </c>
      <c r="Q382" s="504">
        <f t="shared" ca="1" si="59"/>
        <v>44226</v>
      </c>
    </row>
    <row r="383" spans="2:17">
      <c r="B383" s="226" t="str">
        <f t="shared" si="50"/>
        <v/>
      </c>
      <c r="C383" s="227">
        <f t="shared" si="57"/>
        <v>44182</v>
      </c>
      <c r="D383" s="228">
        <f t="shared" si="58"/>
        <v>4</v>
      </c>
      <c r="E383" s="229">
        <f t="shared" si="51"/>
        <v>44182</v>
      </c>
      <c r="F383" s="228">
        <f t="shared" si="52"/>
        <v>0</v>
      </c>
      <c r="G383" s="230" t="str">
        <f t="shared" si="53"/>
        <v/>
      </c>
      <c r="H383" s="231" t="str">
        <f t="shared" si="54"/>
        <v/>
      </c>
      <c r="I383" s="228">
        <f t="shared" si="55"/>
        <v>0</v>
      </c>
      <c r="J383" s="228">
        <f t="shared" si="56"/>
        <v>257</v>
      </c>
      <c r="Q383" s="504">
        <f t="shared" ca="1" si="59"/>
        <v>44227</v>
      </c>
    </row>
    <row r="384" spans="2:17">
      <c r="B384" s="226" t="str">
        <f t="shared" si="50"/>
        <v/>
      </c>
      <c r="C384" s="227">
        <f t="shared" si="57"/>
        <v>44183</v>
      </c>
      <c r="D384" s="228">
        <f t="shared" si="58"/>
        <v>5</v>
      </c>
      <c r="E384" s="229">
        <f t="shared" si="51"/>
        <v>44183</v>
      </c>
      <c r="F384" s="228">
        <f t="shared" si="52"/>
        <v>0</v>
      </c>
      <c r="G384" s="230" t="str">
        <f t="shared" si="53"/>
        <v/>
      </c>
      <c r="H384" s="231" t="str">
        <f t="shared" si="54"/>
        <v/>
      </c>
      <c r="I384" s="228">
        <f t="shared" si="55"/>
        <v>0</v>
      </c>
      <c r="J384" s="228">
        <f t="shared" si="56"/>
        <v>258</v>
      </c>
      <c r="Q384" s="504">
        <f t="shared" ca="1" si="59"/>
        <v>44228</v>
      </c>
    </row>
    <row r="385" spans="2:17">
      <c r="B385" s="226" t="str">
        <f t="shared" si="50"/>
        <v/>
      </c>
      <c r="C385" s="227">
        <f t="shared" si="57"/>
        <v>44184</v>
      </c>
      <c r="D385" s="228">
        <f t="shared" si="58"/>
        <v>6</v>
      </c>
      <c r="E385" s="229">
        <f t="shared" si="51"/>
        <v>44184</v>
      </c>
      <c r="F385" s="228">
        <f t="shared" si="52"/>
        <v>0</v>
      </c>
      <c r="G385" s="230" t="str">
        <f t="shared" si="53"/>
        <v/>
      </c>
      <c r="H385" s="231" t="str">
        <f t="shared" si="54"/>
        <v/>
      </c>
      <c r="I385" s="228">
        <f t="shared" si="55"/>
        <v>1</v>
      </c>
      <c r="J385" s="228">
        <f t="shared" si="56"/>
        <v>258</v>
      </c>
      <c r="Q385" s="504">
        <f t="shared" ca="1" si="59"/>
        <v>44229</v>
      </c>
    </row>
    <row r="386" spans="2:17">
      <c r="B386" s="226" t="str">
        <f t="shared" si="50"/>
        <v/>
      </c>
      <c r="C386" s="227">
        <f t="shared" si="57"/>
        <v>44185</v>
      </c>
      <c r="D386" s="228">
        <f t="shared" si="58"/>
        <v>7</v>
      </c>
      <c r="E386" s="229">
        <f t="shared" si="51"/>
        <v>44185</v>
      </c>
      <c r="F386" s="228">
        <f t="shared" si="52"/>
        <v>0</v>
      </c>
      <c r="G386" s="230" t="str">
        <f t="shared" si="53"/>
        <v/>
      </c>
      <c r="H386" s="231" t="str">
        <f t="shared" si="54"/>
        <v/>
      </c>
      <c r="I386" s="228">
        <f t="shared" si="55"/>
        <v>1</v>
      </c>
      <c r="J386" s="228">
        <f t="shared" si="56"/>
        <v>258</v>
      </c>
      <c r="Q386" s="504">
        <f t="shared" ca="1" si="59"/>
        <v>44230</v>
      </c>
    </row>
    <row r="387" spans="2:17">
      <c r="B387" s="226" t="str">
        <f t="shared" si="50"/>
        <v/>
      </c>
      <c r="C387" s="227">
        <f t="shared" si="57"/>
        <v>44186</v>
      </c>
      <c r="D387" s="228">
        <f t="shared" si="58"/>
        <v>1</v>
      </c>
      <c r="E387" s="229">
        <f t="shared" si="51"/>
        <v>44186</v>
      </c>
      <c r="F387" s="228">
        <f t="shared" si="52"/>
        <v>0</v>
      </c>
      <c r="G387" s="230" t="str">
        <f t="shared" si="53"/>
        <v/>
      </c>
      <c r="H387" s="231" t="str">
        <f t="shared" si="54"/>
        <v/>
      </c>
      <c r="I387" s="228">
        <f t="shared" si="55"/>
        <v>0</v>
      </c>
      <c r="J387" s="228">
        <f t="shared" si="56"/>
        <v>259</v>
      </c>
      <c r="Q387" s="504">
        <f t="shared" ca="1" si="59"/>
        <v>44231</v>
      </c>
    </row>
    <row r="388" spans="2:17">
      <c r="B388" s="226" t="str">
        <f t="shared" si="50"/>
        <v/>
      </c>
      <c r="C388" s="227">
        <f t="shared" si="57"/>
        <v>44187</v>
      </c>
      <c r="D388" s="228">
        <f t="shared" si="58"/>
        <v>2</v>
      </c>
      <c r="E388" s="229">
        <f t="shared" si="51"/>
        <v>44187</v>
      </c>
      <c r="F388" s="228">
        <f t="shared" si="52"/>
        <v>0</v>
      </c>
      <c r="G388" s="230" t="str">
        <f t="shared" si="53"/>
        <v/>
      </c>
      <c r="H388" s="231" t="str">
        <f t="shared" si="54"/>
        <v/>
      </c>
      <c r="I388" s="228">
        <f t="shared" si="55"/>
        <v>0</v>
      </c>
      <c r="J388" s="228">
        <f t="shared" si="56"/>
        <v>260</v>
      </c>
      <c r="Q388" s="504">
        <f t="shared" ca="1" si="59"/>
        <v>44232</v>
      </c>
    </row>
    <row r="389" spans="2:17">
      <c r="B389" s="226" t="str">
        <f t="shared" si="50"/>
        <v/>
      </c>
      <c r="C389" s="227">
        <f t="shared" si="57"/>
        <v>44188</v>
      </c>
      <c r="D389" s="228">
        <f t="shared" si="58"/>
        <v>3</v>
      </c>
      <c r="E389" s="229">
        <f t="shared" si="51"/>
        <v>44188</v>
      </c>
      <c r="F389" s="228">
        <f t="shared" si="52"/>
        <v>0</v>
      </c>
      <c r="G389" s="230" t="str">
        <f t="shared" si="53"/>
        <v/>
      </c>
      <c r="H389" s="231" t="str">
        <f t="shared" si="54"/>
        <v/>
      </c>
      <c r="I389" s="228">
        <f t="shared" si="55"/>
        <v>0</v>
      </c>
      <c r="J389" s="228">
        <f t="shared" si="56"/>
        <v>261</v>
      </c>
      <c r="Q389" s="504">
        <f t="shared" ca="1" si="59"/>
        <v>44233</v>
      </c>
    </row>
    <row r="390" spans="2:17">
      <c r="B390" s="226" t="str">
        <f t="shared" si="50"/>
        <v/>
      </c>
      <c r="C390" s="227">
        <f t="shared" si="57"/>
        <v>44189</v>
      </c>
      <c r="D390" s="228">
        <f t="shared" si="58"/>
        <v>4</v>
      </c>
      <c r="E390" s="229">
        <f t="shared" si="51"/>
        <v>44189</v>
      </c>
      <c r="F390" s="228">
        <f t="shared" si="52"/>
        <v>0</v>
      </c>
      <c r="G390" s="230" t="str">
        <f t="shared" si="53"/>
        <v/>
      </c>
      <c r="H390" s="231" t="str">
        <f t="shared" si="54"/>
        <v/>
      </c>
      <c r="I390" s="228">
        <f t="shared" si="55"/>
        <v>0</v>
      </c>
      <c r="J390" s="228">
        <f t="shared" si="56"/>
        <v>262</v>
      </c>
      <c r="Q390" s="504">
        <f t="shared" ca="1" si="59"/>
        <v>44234</v>
      </c>
    </row>
    <row r="391" spans="2:17">
      <c r="B391" s="226" t="str">
        <f t="shared" si="50"/>
        <v/>
      </c>
      <c r="C391" s="227">
        <f t="shared" si="57"/>
        <v>44190</v>
      </c>
      <c r="D391" s="228">
        <f t="shared" si="58"/>
        <v>5</v>
      </c>
      <c r="E391" s="229">
        <f t="shared" si="51"/>
        <v>44190</v>
      </c>
      <c r="F391" s="228">
        <f t="shared" si="52"/>
        <v>0</v>
      </c>
      <c r="G391" s="230" t="str">
        <f t="shared" si="53"/>
        <v/>
      </c>
      <c r="H391" s="231" t="str">
        <f t="shared" si="54"/>
        <v/>
      </c>
      <c r="I391" s="228">
        <f t="shared" si="55"/>
        <v>0</v>
      </c>
      <c r="J391" s="228">
        <f t="shared" si="56"/>
        <v>263</v>
      </c>
      <c r="Q391" s="504">
        <f t="shared" ca="1" si="59"/>
        <v>44235</v>
      </c>
    </row>
    <row r="392" spans="2:17">
      <c r="B392" s="226" t="str">
        <f t="shared" si="50"/>
        <v/>
      </c>
      <c r="C392" s="227">
        <f t="shared" si="57"/>
        <v>44191</v>
      </c>
      <c r="D392" s="228">
        <f t="shared" si="58"/>
        <v>6</v>
      </c>
      <c r="E392" s="229">
        <f t="shared" si="51"/>
        <v>44191</v>
      </c>
      <c r="F392" s="228">
        <f t="shared" si="52"/>
        <v>0</v>
      </c>
      <c r="G392" s="230" t="str">
        <f t="shared" si="53"/>
        <v/>
      </c>
      <c r="H392" s="231" t="str">
        <f t="shared" si="54"/>
        <v/>
      </c>
      <c r="I392" s="228">
        <f t="shared" si="55"/>
        <v>1</v>
      </c>
      <c r="J392" s="228">
        <f t="shared" si="56"/>
        <v>263</v>
      </c>
      <c r="Q392" s="504">
        <f t="shared" ca="1" si="59"/>
        <v>44236</v>
      </c>
    </row>
    <row r="393" spans="2:17">
      <c r="B393" s="226" t="str">
        <f t="shared" si="50"/>
        <v/>
      </c>
      <c r="C393" s="227">
        <f t="shared" si="57"/>
        <v>44192</v>
      </c>
      <c r="D393" s="228">
        <f t="shared" si="58"/>
        <v>7</v>
      </c>
      <c r="E393" s="229">
        <f t="shared" si="51"/>
        <v>44192</v>
      </c>
      <c r="F393" s="228">
        <f t="shared" si="52"/>
        <v>0</v>
      </c>
      <c r="G393" s="230" t="str">
        <f t="shared" si="53"/>
        <v/>
      </c>
      <c r="H393" s="231" t="str">
        <f t="shared" si="54"/>
        <v/>
      </c>
      <c r="I393" s="228">
        <f t="shared" si="55"/>
        <v>1</v>
      </c>
      <c r="J393" s="228">
        <f t="shared" si="56"/>
        <v>263</v>
      </c>
      <c r="Q393" s="504">
        <f t="shared" ca="1" si="59"/>
        <v>44237</v>
      </c>
    </row>
    <row r="394" spans="2:17">
      <c r="B394" s="226" t="str">
        <f t="shared" si="50"/>
        <v/>
      </c>
      <c r="C394" s="227">
        <f t="shared" si="57"/>
        <v>44193</v>
      </c>
      <c r="D394" s="228">
        <f t="shared" si="58"/>
        <v>1</v>
      </c>
      <c r="E394" s="229">
        <f t="shared" si="51"/>
        <v>44193</v>
      </c>
      <c r="F394" s="228">
        <f t="shared" si="52"/>
        <v>0</v>
      </c>
      <c r="G394" s="230" t="str">
        <f t="shared" si="53"/>
        <v/>
      </c>
      <c r="H394" s="231" t="str">
        <f t="shared" si="54"/>
        <v/>
      </c>
      <c r="I394" s="228">
        <f t="shared" si="55"/>
        <v>0</v>
      </c>
      <c r="J394" s="228">
        <f t="shared" si="56"/>
        <v>264</v>
      </c>
      <c r="Q394" s="504">
        <f t="shared" ca="1" si="59"/>
        <v>44238</v>
      </c>
    </row>
    <row r="395" spans="2:17">
      <c r="B395" s="226" t="str">
        <f t="shared" si="50"/>
        <v/>
      </c>
      <c r="C395" s="227">
        <f t="shared" si="57"/>
        <v>44194</v>
      </c>
      <c r="D395" s="228">
        <f t="shared" si="58"/>
        <v>2</v>
      </c>
      <c r="E395" s="229">
        <f t="shared" si="51"/>
        <v>44194</v>
      </c>
      <c r="F395" s="228">
        <f t="shared" si="52"/>
        <v>0</v>
      </c>
      <c r="G395" s="230" t="str">
        <f t="shared" si="53"/>
        <v/>
      </c>
      <c r="H395" s="231" t="str">
        <f t="shared" si="54"/>
        <v/>
      </c>
      <c r="I395" s="228">
        <f t="shared" si="55"/>
        <v>0</v>
      </c>
      <c r="J395" s="228">
        <f t="shared" si="56"/>
        <v>265</v>
      </c>
      <c r="Q395" s="504">
        <f t="shared" ca="1" si="59"/>
        <v>44239</v>
      </c>
    </row>
    <row r="396" spans="2:17">
      <c r="B396" s="226" t="str">
        <f t="shared" si="50"/>
        <v/>
      </c>
      <c r="C396" s="227">
        <f t="shared" si="57"/>
        <v>44195</v>
      </c>
      <c r="D396" s="228">
        <f t="shared" si="58"/>
        <v>3</v>
      </c>
      <c r="E396" s="229">
        <f t="shared" si="51"/>
        <v>44195</v>
      </c>
      <c r="F396" s="228">
        <f t="shared" si="52"/>
        <v>0</v>
      </c>
      <c r="G396" s="230" t="str">
        <f t="shared" si="53"/>
        <v/>
      </c>
      <c r="H396" s="231" t="str">
        <f t="shared" si="54"/>
        <v/>
      </c>
      <c r="I396" s="228">
        <f t="shared" si="55"/>
        <v>0</v>
      </c>
      <c r="J396" s="228">
        <f t="shared" si="56"/>
        <v>266</v>
      </c>
      <c r="Q396" s="504">
        <f t="shared" ca="1" si="59"/>
        <v>44240</v>
      </c>
    </row>
    <row r="397" spans="2:17">
      <c r="B397" s="226" t="str">
        <f t="shared" si="50"/>
        <v/>
      </c>
      <c r="C397" s="227">
        <f t="shared" si="57"/>
        <v>44196</v>
      </c>
      <c r="D397" s="228">
        <f t="shared" si="58"/>
        <v>4</v>
      </c>
      <c r="E397" s="229">
        <f t="shared" si="51"/>
        <v>44196</v>
      </c>
      <c r="F397" s="228">
        <f t="shared" si="52"/>
        <v>0</v>
      </c>
      <c r="G397" s="230" t="str">
        <f t="shared" si="53"/>
        <v/>
      </c>
      <c r="H397" s="231" t="str">
        <f t="shared" si="54"/>
        <v/>
      </c>
      <c r="I397" s="228">
        <f t="shared" si="55"/>
        <v>0</v>
      </c>
      <c r="J397" s="228">
        <f t="shared" si="56"/>
        <v>267</v>
      </c>
      <c r="Q397" s="504">
        <f t="shared" ca="1" si="59"/>
        <v>44241</v>
      </c>
    </row>
    <row r="398" spans="2:17">
      <c r="B398" s="226" t="str">
        <f t="shared" ref="B398:B461" si="60">IF(J398=$C$4,"Til","")</f>
        <v/>
      </c>
      <c r="C398" s="227">
        <f t="shared" si="57"/>
        <v>44197</v>
      </c>
      <c r="D398" s="228">
        <f t="shared" si="58"/>
        <v>5</v>
      </c>
      <c r="E398" s="229">
        <f t="shared" ref="E398:E461" si="61">C398</f>
        <v>44197</v>
      </c>
      <c r="F398" s="228">
        <f t="shared" ref="F398:F461" si="62">IF(C398="","",IFERROR(MATCH(C398,INDEX(caHellig,,2),0),0))</f>
        <v>0</v>
      </c>
      <c r="G398" s="230" t="str">
        <f t="shared" ref="G398:G461" si="63">IF(C398="","",IF(F398&gt;0,INDEX(caHellig,F398,2),""))</f>
        <v/>
      </c>
      <c r="H398" s="231" t="str">
        <f t="shared" ref="H398:H461" si="64">IF(C398="","",IF(F398&gt;0,INDEX(caHellig,F398,1),""))</f>
        <v/>
      </c>
      <c r="I398" s="228">
        <f t="shared" ref="I398:I461" si="65">IF(C398="","",IF(OR(D398&gt;5,F398,0),1,0))</f>
        <v>0</v>
      </c>
      <c r="J398" s="228">
        <f t="shared" ref="J398:J461" si="66">IF(C398="","",IF(I398=0,J397+1,J397))</f>
        <v>268</v>
      </c>
      <c r="Q398" s="504">
        <f t="shared" ca="1" si="59"/>
        <v>44242</v>
      </c>
    </row>
    <row r="399" spans="2:17">
      <c r="B399" s="226" t="str">
        <f t="shared" si="60"/>
        <v/>
      </c>
      <c r="C399" s="227">
        <f t="shared" ref="C399:C462" si="67">C398+1</f>
        <v>44198</v>
      </c>
      <c r="D399" s="228">
        <f t="shared" ref="D399:D462" si="68">IF(C399&lt;&gt;"",WEEKDAY(C399,2),"")</f>
        <v>6</v>
      </c>
      <c r="E399" s="229">
        <f t="shared" si="61"/>
        <v>44198</v>
      </c>
      <c r="F399" s="228">
        <f t="shared" si="62"/>
        <v>0</v>
      </c>
      <c r="G399" s="230" t="str">
        <f t="shared" si="63"/>
        <v/>
      </c>
      <c r="H399" s="231" t="str">
        <f t="shared" si="64"/>
        <v/>
      </c>
      <c r="I399" s="228">
        <f t="shared" si="65"/>
        <v>1</v>
      </c>
      <c r="J399" s="228">
        <f t="shared" si="66"/>
        <v>268</v>
      </c>
      <c r="Q399" s="504">
        <f t="shared" ref="Q399:Q462" ca="1" si="69">Q398+1</f>
        <v>44243</v>
      </c>
    </row>
    <row r="400" spans="2:17">
      <c r="B400" s="226" t="str">
        <f t="shared" si="60"/>
        <v/>
      </c>
      <c r="C400" s="227">
        <f t="shared" si="67"/>
        <v>44199</v>
      </c>
      <c r="D400" s="228">
        <f t="shared" si="68"/>
        <v>7</v>
      </c>
      <c r="E400" s="229">
        <f t="shared" si="61"/>
        <v>44199</v>
      </c>
      <c r="F400" s="228">
        <f t="shared" si="62"/>
        <v>0</v>
      </c>
      <c r="G400" s="230" t="str">
        <f t="shared" si="63"/>
        <v/>
      </c>
      <c r="H400" s="231" t="str">
        <f t="shared" si="64"/>
        <v/>
      </c>
      <c r="I400" s="228">
        <f t="shared" si="65"/>
        <v>1</v>
      </c>
      <c r="J400" s="228">
        <f t="shared" si="66"/>
        <v>268</v>
      </c>
      <c r="Q400" s="504">
        <f t="shared" ca="1" si="69"/>
        <v>44244</v>
      </c>
    </row>
    <row r="401" spans="2:17">
      <c r="B401" s="226" t="str">
        <f t="shared" si="60"/>
        <v/>
      </c>
      <c r="C401" s="227">
        <f t="shared" si="67"/>
        <v>44200</v>
      </c>
      <c r="D401" s="228">
        <f t="shared" si="68"/>
        <v>1</v>
      </c>
      <c r="E401" s="229">
        <f t="shared" si="61"/>
        <v>44200</v>
      </c>
      <c r="F401" s="228">
        <f t="shared" si="62"/>
        <v>0</v>
      </c>
      <c r="G401" s="230" t="str">
        <f t="shared" si="63"/>
        <v/>
      </c>
      <c r="H401" s="231" t="str">
        <f t="shared" si="64"/>
        <v/>
      </c>
      <c r="I401" s="228">
        <f t="shared" si="65"/>
        <v>0</v>
      </c>
      <c r="J401" s="228">
        <f t="shared" si="66"/>
        <v>269</v>
      </c>
      <c r="Q401" s="504">
        <f t="shared" ca="1" si="69"/>
        <v>44245</v>
      </c>
    </row>
    <row r="402" spans="2:17">
      <c r="B402" s="226" t="str">
        <f t="shared" si="60"/>
        <v/>
      </c>
      <c r="C402" s="227">
        <f t="shared" si="67"/>
        <v>44201</v>
      </c>
      <c r="D402" s="228">
        <f t="shared" si="68"/>
        <v>2</v>
      </c>
      <c r="E402" s="229">
        <f t="shared" si="61"/>
        <v>44201</v>
      </c>
      <c r="F402" s="228">
        <f t="shared" si="62"/>
        <v>0</v>
      </c>
      <c r="G402" s="230" t="str">
        <f t="shared" si="63"/>
        <v/>
      </c>
      <c r="H402" s="231" t="str">
        <f t="shared" si="64"/>
        <v/>
      </c>
      <c r="I402" s="228">
        <f t="shared" si="65"/>
        <v>0</v>
      </c>
      <c r="J402" s="228">
        <f t="shared" si="66"/>
        <v>270</v>
      </c>
      <c r="Q402" s="504">
        <f t="shared" ca="1" si="69"/>
        <v>44246</v>
      </c>
    </row>
    <row r="403" spans="2:17">
      <c r="B403" s="226" t="str">
        <f t="shared" si="60"/>
        <v/>
      </c>
      <c r="C403" s="227">
        <f t="shared" si="67"/>
        <v>44202</v>
      </c>
      <c r="D403" s="228">
        <f t="shared" si="68"/>
        <v>3</v>
      </c>
      <c r="E403" s="229">
        <f t="shared" si="61"/>
        <v>44202</v>
      </c>
      <c r="F403" s="228">
        <f t="shared" si="62"/>
        <v>0</v>
      </c>
      <c r="G403" s="230" t="str">
        <f t="shared" si="63"/>
        <v/>
      </c>
      <c r="H403" s="231" t="str">
        <f t="shared" si="64"/>
        <v/>
      </c>
      <c r="I403" s="228">
        <f t="shared" si="65"/>
        <v>0</v>
      </c>
      <c r="J403" s="228">
        <f t="shared" si="66"/>
        <v>271</v>
      </c>
      <c r="Q403" s="504">
        <f t="shared" ca="1" si="69"/>
        <v>44247</v>
      </c>
    </row>
    <row r="404" spans="2:17">
      <c r="B404" s="226" t="str">
        <f t="shared" si="60"/>
        <v/>
      </c>
      <c r="C404" s="227">
        <f t="shared" si="67"/>
        <v>44203</v>
      </c>
      <c r="D404" s="228">
        <f t="shared" si="68"/>
        <v>4</v>
      </c>
      <c r="E404" s="229">
        <f t="shared" si="61"/>
        <v>44203</v>
      </c>
      <c r="F404" s="228">
        <f t="shared" si="62"/>
        <v>0</v>
      </c>
      <c r="G404" s="230" t="str">
        <f t="shared" si="63"/>
        <v/>
      </c>
      <c r="H404" s="231" t="str">
        <f t="shared" si="64"/>
        <v/>
      </c>
      <c r="I404" s="228">
        <f t="shared" si="65"/>
        <v>0</v>
      </c>
      <c r="J404" s="228">
        <f t="shared" si="66"/>
        <v>272</v>
      </c>
      <c r="Q404" s="504">
        <f t="shared" ca="1" si="69"/>
        <v>44248</v>
      </c>
    </row>
    <row r="405" spans="2:17">
      <c r="B405" s="226" t="str">
        <f t="shared" si="60"/>
        <v/>
      </c>
      <c r="C405" s="227">
        <f t="shared" si="67"/>
        <v>44204</v>
      </c>
      <c r="D405" s="228">
        <f t="shared" si="68"/>
        <v>5</v>
      </c>
      <c r="E405" s="229">
        <f t="shared" si="61"/>
        <v>44204</v>
      </c>
      <c r="F405" s="228">
        <f t="shared" si="62"/>
        <v>0</v>
      </c>
      <c r="G405" s="230" t="str">
        <f t="shared" si="63"/>
        <v/>
      </c>
      <c r="H405" s="231" t="str">
        <f t="shared" si="64"/>
        <v/>
      </c>
      <c r="I405" s="228">
        <f t="shared" si="65"/>
        <v>0</v>
      </c>
      <c r="J405" s="228">
        <f t="shared" si="66"/>
        <v>273</v>
      </c>
      <c r="Q405" s="504">
        <f t="shared" ca="1" si="69"/>
        <v>44249</v>
      </c>
    </row>
    <row r="406" spans="2:17">
      <c r="B406" s="226" t="str">
        <f t="shared" si="60"/>
        <v/>
      </c>
      <c r="C406" s="227">
        <f t="shared" si="67"/>
        <v>44205</v>
      </c>
      <c r="D406" s="228">
        <f t="shared" si="68"/>
        <v>6</v>
      </c>
      <c r="E406" s="229">
        <f t="shared" si="61"/>
        <v>44205</v>
      </c>
      <c r="F406" s="228">
        <f t="shared" si="62"/>
        <v>0</v>
      </c>
      <c r="G406" s="230" t="str">
        <f t="shared" si="63"/>
        <v/>
      </c>
      <c r="H406" s="231" t="str">
        <f t="shared" si="64"/>
        <v/>
      </c>
      <c r="I406" s="228">
        <f t="shared" si="65"/>
        <v>1</v>
      </c>
      <c r="J406" s="228">
        <f t="shared" si="66"/>
        <v>273</v>
      </c>
      <c r="Q406" s="504">
        <f t="shared" ca="1" si="69"/>
        <v>44250</v>
      </c>
    </row>
    <row r="407" spans="2:17">
      <c r="B407" s="226" t="str">
        <f t="shared" si="60"/>
        <v/>
      </c>
      <c r="C407" s="227">
        <f t="shared" si="67"/>
        <v>44206</v>
      </c>
      <c r="D407" s="228">
        <f t="shared" si="68"/>
        <v>7</v>
      </c>
      <c r="E407" s="229">
        <f t="shared" si="61"/>
        <v>44206</v>
      </c>
      <c r="F407" s="228">
        <f t="shared" si="62"/>
        <v>0</v>
      </c>
      <c r="G407" s="230" t="str">
        <f t="shared" si="63"/>
        <v/>
      </c>
      <c r="H407" s="231" t="str">
        <f t="shared" si="64"/>
        <v/>
      </c>
      <c r="I407" s="228">
        <f t="shared" si="65"/>
        <v>1</v>
      </c>
      <c r="J407" s="228">
        <f t="shared" si="66"/>
        <v>273</v>
      </c>
      <c r="Q407" s="504">
        <f t="shared" ca="1" si="69"/>
        <v>44251</v>
      </c>
    </row>
    <row r="408" spans="2:17">
      <c r="B408" s="226" t="str">
        <f t="shared" si="60"/>
        <v/>
      </c>
      <c r="C408" s="227">
        <f t="shared" si="67"/>
        <v>44207</v>
      </c>
      <c r="D408" s="228">
        <f t="shared" si="68"/>
        <v>1</v>
      </c>
      <c r="E408" s="229">
        <f t="shared" si="61"/>
        <v>44207</v>
      </c>
      <c r="F408" s="228">
        <f t="shared" si="62"/>
        <v>0</v>
      </c>
      <c r="G408" s="230" t="str">
        <f t="shared" si="63"/>
        <v/>
      </c>
      <c r="H408" s="231" t="str">
        <f t="shared" si="64"/>
        <v/>
      </c>
      <c r="I408" s="228">
        <f t="shared" si="65"/>
        <v>0</v>
      </c>
      <c r="J408" s="228">
        <f t="shared" si="66"/>
        <v>274</v>
      </c>
      <c r="Q408" s="504">
        <f t="shared" ca="1" si="69"/>
        <v>44252</v>
      </c>
    </row>
    <row r="409" spans="2:17">
      <c r="B409" s="226" t="str">
        <f t="shared" si="60"/>
        <v/>
      </c>
      <c r="C409" s="227">
        <f t="shared" si="67"/>
        <v>44208</v>
      </c>
      <c r="D409" s="228">
        <f t="shared" si="68"/>
        <v>2</v>
      </c>
      <c r="E409" s="229">
        <f t="shared" si="61"/>
        <v>44208</v>
      </c>
      <c r="F409" s="228">
        <f t="shared" si="62"/>
        <v>0</v>
      </c>
      <c r="G409" s="230" t="str">
        <f t="shared" si="63"/>
        <v/>
      </c>
      <c r="H409" s="231" t="str">
        <f t="shared" si="64"/>
        <v/>
      </c>
      <c r="I409" s="228">
        <f t="shared" si="65"/>
        <v>0</v>
      </c>
      <c r="J409" s="228">
        <f t="shared" si="66"/>
        <v>275</v>
      </c>
      <c r="Q409" s="504">
        <f t="shared" ca="1" si="69"/>
        <v>44253</v>
      </c>
    </row>
    <row r="410" spans="2:17">
      <c r="B410" s="226" t="str">
        <f t="shared" si="60"/>
        <v/>
      </c>
      <c r="C410" s="227">
        <f t="shared" si="67"/>
        <v>44209</v>
      </c>
      <c r="D410" s="228">
        <f t="shared" si="68"/>
        <v>3</v>
      </c>
      <c r="E410" s="229">
        <f t="shared" si="61"/>
        <v>44209</v>
      </c>
      <c r="F410" s="228">
        <f t="shared" si="62"/>
        <v>0</v>
      </c>
      <c r="G410" s="230" t="str">
        <f t="shared" si="63"/>
        <v/>
      </c>
      <c r="H410" s="231" t="str">
        <f t="shared" si="64"/>
        <v/>
      </c>
      <c r="I410" s="228">
        <f t="shared" si="65"/>
        <v>0</v>
      </c>
      <c r="J410" s="228">
        <f t="shared" si="66"/>
        <v>276</v>
      </c>
      <c r="Q410" s="504">
        <f t="shared" ca="1" si="69"/>
        <v>44254</v>
      </c>
    </row>
    <row r="411" spans="2:17">
      <c r="B411" s="226" t="str">
        <f t="shared" si="60"/>
        <v/>
      </c>
      <c r="C411" s="227">
        <f t="shared" si="67"/>
        <v>44210</v>
      </c>
      <c r="D411" s="228">
        <f t="shared" si="68"/>
        <v>4</v>
      </c>
      <c r="E411" s="229">
        <f t="shared" si="61"/>
        <v>44210</v>
      </c>
      <c r="F411" s="228">
        <f t="shared" si="62"/>
        <v>0</v>
      </c>
      <c r="G411" s="230" t="str">
        <f t="shared" si="63"/>
        <v/>
      </c>
      <c r="H411" s="231" t="str">
        <f t="shared" si="64"/>
        <v/>
      </c>
      <c r="I411" s="228">
        <f t="shared" si="65"/>
        <v>0</v>
      </c>
      <c r="J411" s="228">
        <f t="shared" si="66"/>
        <v>277</v>
      </c>
      <c r="Q411" s="504">
        <f t="shared" ca="1" si="69"/>
        <v>44255</v>
      </c>
    </row>
    <row r="412" spans="2:17">
      <c r="B412" s="226" t="str">
        <f t="shared" si="60"/>
        <v/>
      </c>
      <c r="C412" s="227">
        <f t="shared" si="67"/>
        <v>44211</v>
      </c>
      <c r="D412" s="228">
        <f t="shared" si="68"/>
        <v>5</v>
      </c>
      <c r="E412" s="229">
        <f t="shared" si="61"/>
        <v>44211</v>
      </c>
      <c r="F412" s="228">
        <f t="shared" si="62"/>
        <v>0</v>
      </c>
      <c r="G412" s="230" t="str">
        <f t="shared" si="63"/>
        <v/>
      </c>
      <c r="H412" s="231" t="str">
        <f t="shared" si="64"/>
        <v/>
      </c>
      <c r="I412" s="228">
        <f t="shared" si="65"/>
        <v>0</v>
      </c>
      <c r="J412" s="228">
        <f t="shared" si="66"/>
        <v>278</v>
      </c>
      <c r="Q412" s="504">
        <f t="shared" ca="1" si="69"/>
        <v>44256</v>
      </c>
    </row>
    <row r="413" spans="2:17">
      <c r="B413" s="226" t="str">
        <f t="shared" si="60"/>
        <v/>
      </c>
      <c r="C413" s="227">
        <f t="shared" si="67"/>
        <v>44212</v>
      </c>
      <c r="D413" s="228">
        <f t="shared" si="68"/>
        <v>6</v>
      </c>
      <c r="E413" s="229">
        <f t="shared" si="61"/>
        <v>44212</v>
      </c>
      <c r="F413" s="228">
        <f t="shared" si="62"/>
        <v>0</v>
      </c>
      <c r="G413" s="230" t="str">
        <f t="shared" si="63"/>
        <v/>
      </c>
      <c r="H413" s="231" t="str">
        <f t="shared" si="64"/>
        <v/>
      </c>
      <c r="I413" s="228">
        <f t="shared" si="65"/>
        <v>1</v>
      </c>
      <c r="J413" s="228">
        <f t="shared" si="66"/>
        <v>278</v>
      </c>
      <c r="Q413" s="504">
        <f t="shared" ca="1" si="69"/>
        <v>44257</v>
      </c>
    </row>
    <row r="414" spans="2:17">
      <c r="B414" s="226" t="str">
        <f t="shared" si="60"/>
        <v/>
      </c>
      <c r="C414" s="227">
        <f t="shared" si="67"/>
        <v>44213</v>
      </c>
      <c r="D414" s="228">
        <f t="shared" si="68"/>
        <v>7</v>
      </c>
      <c r="E414" s="229">
        <f t="shared" si="61"/>
        <v>44213</v>
      </c>
      <c r="F414" s="228">
        <f t="shared" si="62"/>
        <v>0</v>
      </c>
      <c r="G414" s="230" t="str">
        <f t="shared" si="63"/>
        <v/>
      </c>
      <c r="H414" s="231" t="str">
        <f t="shared" si="64"/>
        <v/>
      </c>
      <c r="I414" s="228">
        <f t="shared" si="65"/>
        <v>1</v>
      </c>
      <c r="J414" s="228">
        <f t="shared" si="66"/>
        <v>278</v>
      </c>
      <c r="Q414" s="504">
        <f t="shared" ca="1" si="69"/>
        <v>44258</v>
      </c>
    </row>
    <row r="415" spans="2:17">
      <c r="B415" s="226" t="str">
        <f t="shared" si="60"/>
        <v/>
      </c>
      <c r="C415" s="227">
        <f t="shared" si="67"/>
        <v>44214</v>
      </c>
      <c r="D415" s="228">
        <f t="shared" si="68"/>
        <v>1</v>
      </c>
      <c r="E415" s="229">
        <f t="shared" si="61"/>
        <v>44214</v>
      </c>
      <c r="F415" s="228">
        <f t="shared" si="62"/>
        <v>0</v>
      </c>
      <c r="G415" s="230" t="str">
        <f t="shared" si="63"/>
        <v/>
      </c>
      <c r="H415" s="231" t="str">
        <f t="shared" si="64"/>
        <v/>
      </c>
      <c r="I415" s="228">
        <f t="shared" si="65"/>
        <v>0</v>
      </c>
      <c r="J415" s="228">
        <f t="shared" si="66"/>
        <v>279</v>
      </c>
      <c r="Q415" s="504">
        <f t="shared" ca="1" si="69"/>
        <v>44259</v>
      </c>
    </row>
    <row r="416" spans="2:17">
      <c r="B416" s="226" t="str">
        <f t="shared" si="60"/>
        <v/>
      </c>
      <c r="C416" s="227">
        <f t="shared" si="67"/>
        <v>44215</v>
      </c>
      <c r="D416" s="228">
        <f t="shared" si="68"/>
        <v>2</v>
      </c>
      <c r="E416" s="229">
        <f t="shared" si="61"/>
        <v>44215</v>
      </c>
      <c r="F416" s="228">
        <f t="shared" si="62"/>
        <v>0</v>
      </c>
      <c r="G416" s="230" t="str">
        <f t="shared" si="63"/>
        <v/>
      </c>
      <c r="H416" s="231" t="str">
        <f t="shared" si="64"/>
        <v/>
      </c>
      <c r="I416" s="228">
        <f t="shared" si="65"/>
        <v>0</v>
      </c>
      <c r="J416" s="228">
        <f t="shared" si="66"/>
        <v>280</v>
      </c>
      <c r="Q416" s="504">
        <f t="shared" ca="1" si="69"/>
        <v>44260</v>
      </c>
    </row>
    <row r="417" spans="2:17">
      <c r="B417" s="226" t="str">
        <f t="shared" si="60"/>
        <v/>
      </c>
      <c r="C417" s="227">
        <f t="shared" si="67"/>
        <v>44216</v>
      </c>
      <c r="D417" s="228">
        <f t="shared" si="68"/>
        <v>3</v>
      </c>
      <c r="E417" s="229">
        <f t="shared" si="61"/>
        <v>44216</v>
      </c>
      <c r="F417" s="228">
        <f t="shared" si="62"/>
        <v>0</v>
      </c>
      <c r="G417" s="230" t="str">
        <f t="shared" si="63"/>
        <v/>
      </c>
      <c r="H417" s="231" t="str">
        <f t="shared" si="64"/>
        <v/>
      </c>
      <c r="I417" s="228">
        <f t="shared" si="65"/>
        <v>0</v>
      </c>
      <c r="J417" s="228">
        <f t="shared" si="66"/>
        <v>281</v>
      </c>
      <c r="Q417" s="504">
        <f t="shared" ca="1" si="69"/>
        <v>44261</v>
      </c>
    </row>
    <row r="418" spans="2:17">
      <c r="B418" s="226" t="str">
        <f t="shared" si="60"/>
        <v/>
      </c>
      <c r="C418" s="227">
        <f t="shared" si="67"/>
        <v>44217</v>
      </c>
      <c r="D418" s="228">
        <f t="shared" si="68"/>
        <v>4</v>
      </c>
      <c r="E418" s="229">
        <f t="shared" si="61"/>
        <v>44217</v>
      </c>
      <c r="F418" s="228">
        <f t="shared" si="62"/>
        <v>0</v>
      </c>
      <c r="G418" s="230" t="str">
        <f t="shared" si="63"/>
        <v/>
      </c>
      <c r="H418" s="231" t="str">
        <f t="shared" si="64"/>
        <v/>
      </c>
      <c r="I418" s="228">
        <f t="shared" si="65"/>
        <v>0</v>
      </c>
      <c r="J418" s="228">
        <f t="shared" si="66"/>
        <v>282</v>
      </c>
      <c r="Q418" s="504">
        <f t="shared" ca="1" si="69"/>
        <v>44262</v>
      </c>
    </row>
    <row r="419" spans="2:17">
      <c r="B419" s="226" t="str">
        <f t="shared" si="60"/>
        <v/>
      </c>
      <c r="C419" s="227">
        <f t="shared" si="67"/>
        <v>44218</v>
      </c>
      <c r="D419" s="228">
        <f t="shared" si="68"/>
        <v>5</v>
      </c>
      <c r="E419" s="229">
        <f t="shared" si="61"/>
        <v>44218</v>
      </c>
      <c r="F419" s="228">
        <f t="shared" si="62"/>
        <v>0</v>
      </c>
      <c r="G419" s="230" t="str">
        <f t="shared" si="63"/>
        <v/>
      </c>
      <c r="H419" s="231" t="str">
        <f t="shared" si="64"/>
        <v/>
      </c>
      <c r="I419" s="228">
        <f t="shared" si="65"/>
        <v>0</v>
      </c>
      <c r="J419" s="228">
        <f t="shared" si="66"/>
        <v>283</v>
      </c>
      <c r="Q419" s="504">
        <f t="shared" ca="1" si="69"/>
        <v>44263</v>
      </c>
    </row>
    <row r="420" spans="2:17">
      <c r="B420" s="226" t="str">
        <f t="shared" si="60"/>
        <v/>
      </c>
      <c r="C420" s="227">
        <f t="shared" si="67"/>
        <v>44219</v>
      </c>
      <c r="D420" s="228">
        <f t="shared" si="68"/>
        <v>6</v>
      </c>
      <c r="E420" s="229">
        <f t="shared" si="61"/>
        <v>44219</v>
      </c>
      <c r="F420" s="228">
        <f t="shared" si="62"/>
        <v>0</v>
      </c>
      <c r="G420" s="230" t="str">
        <f t="shared" si="63"/>
        <v/>
      </c>
      <c r="H420" s="231" t="str">
        <f t="shared" si="64"/>
        <v/>
      </c>
      <c r="I420" s="228">
        <f t="shared" si="65"/>
        <v>1</v>
      </c>
      <c r="J420" s="228">
        <f t="shared" si="66"/>
        <v>283</v>
      </c>
      <c r="Q420" s="504">
        <f t="shared" ca="1" si="69"/>
        <v>44264</v>
      </c>
    </row>
    <row r="421" spans="2:17">
      <c r="B421" s="226" t="str">
        <f t="shared" si="60"/>
        <v/>
      </c>
      <c r="C421" s="227">
        <f t="shared" si="67"/>
        <v>44220</v>
      </c>
      <c r="D421" s="228">
        <f t="shared" si="68"/>
        <v>7</v>
      </c>
      <c r="E421" s="229">
        <f t="shared" si="61"/>
        <v>44220</v>
      </c>
      <c r="F421" s="228">
        <f t="shared" si="62"/>
        <v>0</v>
      </c>
      <c r="G421" s="230" t="str">
        <f t="shared" si="63"/>
        <v/>
      </c>
      <c r="H421" s="231" t="str">
        <f t="shared" si="64"/>
        <v/>
      </c>
      <c r="I421" s="228">
        <f t="shared" si="65"/>
        <v>1</v>
      </c>
      <c r="J421" s="228">
        <f t="shared" si="66"/>
        <v>283</v>
      </c>
      <c r="Q421" s="504">
        <f t="shared" ca="1" si="69"/>
        <v>44265</v>
      </c>
    </row>
    <row r="422" spans="2:17">
      <c r="B422" s="226" t="str">
        <f t="shared" si="60"/>
        <v/>
      </c>
      <c r="C422" s="227">
        <f t="shared" si="67"/>
        <v>44221</v>
      </c>
      <c r="D422" s="228">
        <f t="shared" si="68"/>
        <v>1</v>
      </c>
      <c r="E422" s="229">
        <f t="shared" si="61"/>
        <v>44221</v>
      </c>
      <c r="F422" s="228">
        <f t="shared" si="62"/>
        <v>0</v>
      </c>
      <c r="G422" s="230" t="str">
        <f t="shared" si="63"/>
        <v/>
      </c>
      <c r="H422" s="231" t="str">
        <f t="shared" si="64"/>
        <v/>
      </c>
      <c r="I422" s="228">
        <f t="shared" si="65"/>
        <v>0</v>
      </c>
      <c r="J422" s="228">
        <f t="shared" si="66"/>
        <v>284</v>
      </c>
      <c r="Q422" s="504">
        <f t="shared" ca="1" si="69"/>
        <v>44266</v>
      </c>
    </row>
    <row r="423" spans="2:17">
      <c r="B423" s="226" t="str">
        <f t="shared" si="60"/>
        <v/>
      </c>
      <c r="C423" s="227">
        <f t="shared" si="67"/>
        <v>44222</v>
      </c>
      <c r="D423" s="228">
        <f t="shared" si="68"/>
        <v>2</v>
      </c>
      <c r="E423" s="229">
        <f t="shared" si="61"/>
        <v>44222</v>
      </c>
      <c r="F423" s="228">
        <f t="shared" si="62"/>
        <v>0</v>
      </c>
      <c r="G423" s="230" t="str">
        <f t="shared" si="63"/>
        <v/>
      </c>
      <c r="H423" s="231" t="str">
        <f t="shared" si="64"/>
        <v/>
      </c>
      <c r="I423" s="228">
        <f t="shared" si="65"/>
        <v>0</v>
      </c>
      <c r="J423" s="228">
        <f t="shared" si="66"/>
        <v>285</v>
      </c>
      <c r="Q423" s="504">
        <f t="shared" ca="1" si="69"/>
        <v>44267</v>
      </c>
    </row>
    <row r="424" spans="2:17">
      <c r="B424" s="226" t="str">
        <f t="shared" si="60"/>
        <v/>
      </c>
      <c r="C424" s="227">
        <f t="shared" si="67"/>
        <v>44223</v>
      </c>
      <c r="D424" s="228">
        <f t="shared" si="68"/>
        <v>3</v>
      </c>
      <c r="E424" s="229">
        <f t="shared" si="61"/>
        <v>44223</v>
      </c>
      <c r="F424" s="228">
        <f t="shared" si="62"/>
        <v>0</v>
      </c>
      <c r="G424" s="230" t="str">
        <f t="shared" si="63"/>
        <v/>
      </c>
      <c r="H424" s="231" t="str">
        <f t="shared" si="64"/>
        <v/>
      </c>
      <c r="I424" s="228">
        <f t="shared" si="65"/>
        <v>0</v>
      </c>
      <c r="J424" s="228">
        <f t="shared" si="66"/>
        <v>286</v>
      </c>
      <c r="Q424" s="504">
        <f t="shared" ca="1" si="69"/>
        <v>44268</v>
      </c>
    </row>
    <row r="425" spans="2:17">
      <c r="B425" s="226" t="str">
        <f t="shared" si="60"/>
        <v/>
      </c>
      <c r="C425" s="227">
        <f t="shared" si="67"/>
        <v>44224</v>
      </c>
      <c r="D425" s="228">
        <f t="shared" si="68"/>
        <v>4</v>
      </c>
      <c r="E425" s="229">
        <f t="shared" si="61"/>
        <v>44224</v>
      </c>
      <c r="F425" s="228">
        <f t="shared" si="62"/>
        <v>0</v>
      </c>
      <c r="G425" s="230" t="str">
        <f t="shared" si="63"/>
        <v/>
      </c>
      <c r="H425" s="231" t="str">
        <f t="shared" si="64"/>
        <v/>
      </c>
      <c r="I425" s="228">
        <f t="shared" si="65"/>
        <v>0</v>
      </c>
      <c r="J425" s="228">
        <f t="shared" si="66"/>
        <v>287</v>
      </c>
      <c r="Q425" s="504">
        <f t="shared" ca="1" si="69"/>
        <v>44269</v>
      </c>
    </row>
    <row r="426" spans="2:17">
      <c r="B426" s="226" t="str">
        <f t="shared" si="60"/>
        <v/>
      </c>
      <c r="C426" s="227">
        <f t="shared" si="67"/>
        <v>44225</v>
      </c>
      <c r="D426" s="228">
        <f t="shared" si="68"/>
        <v>5</v>
      </c>
      <c r="E426" s="229">
        <f t="shared" si="61"/>
        <v>44225</v>
      </c>
      <c r="F426" s="228">
        <f t="shared" si="62"/>
        <v>0</v>
      </c>
      <c r="G426" s="230" t="str">
        <f t="shared" si="63"/>
        <v/>
      </c>
      <c r="H426" s="231" t="str">
        <f t="shared" si="64"/>
        <v/>
      </c>
      <c r="I426" s="228">
        <f t="shared" si="65"/>
        <v>0</v>
      </c>
      <c r="J426" s="228">
        <f t="shared" si="66"/>
        <v>288</v>
      </c>
      <c r="Q426" s="504">
        <f t="shared" ca="1" si="69"/>
        <v>44270</v>
      </c>
    </row>
    <row r="427" spans="2:17">
      <c r="B427" s="226" t="str">
        <f t="shared" si="60"/>
        <v/>
      </c>
      <c r="C427" s="227">
        <f t="shared" si="67"/>
        <v>44226</v>
      </c>
      <c r="D427" s="228">
        <f t="shared" si="68"/>
        <v>6</v>
      </c>
      <c r="E427" s="229">
        <f t="shared" si="61"/>
        <v>44226</v>
      </c>
      <c r="F427" s="228">
        <f t="shared" si="62"/>
        <v>0</v>
      </c>
      <c r="G427" s="230" t="str">
        <f t="shared" si="63"/>
        <v/>
      </c>
      <c r="H427" s="231" t="str">
        <f t="shared" si="64"/>
        <v/>
      </c>
      <c r="I427" s="228">
        <f t="shared" si="65"/>
        <v>1</v>
      </c>
      <c r="J427" s="228">
        <f t="shared" si="66"/>
        <v>288</v>
      </c>
      <c r="Q427" s="504">
        <f t="shared" ca="1" si="69"/>
        <v>44271</v>
      </c>
    </row>
    <row r="428" spans="2:17">
      <c r="B428" s="226" t="str">
        <f t="shared" si="60"/>
        <v/>
      </c>
      <c r="C428" s="227">
        <f t="shared" si="67"/>
        <v>44227</v>
      </c>
      <c r="D428" s="228">
        <f t="shared" si="68"/>
        <v>7</v>
      </c>
      <c r="E428" s="229">
        <f t="shared" si="61"/>
        <v>44227</v>
      </c>
      <c r="F428" s="228">
        <f t="shared" si="62"/>
        <v>0</v>
      </c>
      <c r="G428" s="230" t="str">
        <f t="shared" si="63"/>
        <v/>
      </c>
      <c r="H428" s="231" t="str">
        <f t="shared" si="64"/>
        <v/>
      </c>
      <c r="I428" s="228">
        <f t="shared" si="65"/>
        <v>1</v>
      </c>
      <c r="J428" s="228">
        <f t="shared" si="66"/>
        <v>288</v>
      </c>
      <c r="Q428" s="504">
        <f t="shared" ca="1" si="69"/>
        <v>44272</v>
      </c>
    </row>
    <row r="429" spans="2:17">
      <c r="B429" s="226" t="str">
        <f t="shared" si="60"/>
        <v/>
      </c>
      <c r="C429" s="227">
        <f t="shared" si="67"/>
        <v>44228</v>
      </c>
      <c r="D429" s="228">
        <f t="shared" si="68"/>
        <v>1</v>
      </c>
      <c r="E429" s="229">
        <f t="shared" si="61"/>
        <v>44228</v>
      </c>
      <c r="F429" s="228">
        <f t="shared" si="62"/>
        <v>0</v>
      </c>
      <c r="G429" s="230" t="str">
        <f t="shared" si="63"/>
        <v/>
      </c>
      <c r="H429" s="231" t="str">
        <f t="shared" si="64"/>
        <v/>
      </c>
      <c r="I429" s="228">
        <f t="shared" si="65"/>
        <v>0</v>
      </c>
      <c r="J429" s="228">
        <f t="shared" si="66"/>
        <v>289</v>
      </c>
      <c r="Q429" s="504">
        <f t="shared" ca="1" si="69"/>
        <v>44273</v>
      </c>
    </row>
    <row r="430" spans="2:17">
      <c r="B430" s="226" t="str">
        <f t="shared" si="60"/>
        <v/>
      </c>
      <c r="C430" s="227">
        <f t="shared" si="67"/>
        <v>44229</v>
      </c>
      <c r="D430" s="228">
        <f t="shared" si="68"/>
        <v>2</v>
      </c>
      <c r="E430" s="229">
        <f t="shared" si="61"/>
        <v>44229</v>
      </c>
      <c r="F430" s="228">
        <f t="shared" si="62"/>
        <v>0</v>
      </c>
      <c r="G430" s="230" t="str">
        <f t="shared" si="63"/>
        <v/>
      </c>
      <c r="H430" s="231" t="str">
        <f t="shared" si="64"/>
        <v/>
      </c>
      <c r="I430" s="228">
        <f t="shared" si="65"/>
        <v>0</v>
      </c>
      <c r="J430" s="228">
        <f t="shared" si="66"/>
        <v>290</v>
      </c>
      <c r="Q430" s="504">
        <f t="shared" ca="1" si="69"/>
        <v>44274</v>
      </c>
    </row>
    <row r="431" spans="2:17">
      <c r="B431" s="226" t="str">
        <f t="shared" si="60"/>
        <v/>
      </c>
      <c r="C431" s="227">
        <f t="shared" si="67"/>
        <v>44230</v>
      </c>
      <c r="D431" s="228">
        <f t="shared" si="68"/>
        <v>3</v>
      </c>
      <c r="E431" s="229">
        <f t="shared" si="61"/>
        <v>44230</v>
      </c>
      <c r="F431" s="228">
        <f t="shared" si="62"/>
        <v>0</v>
      </c>
      <c r="G431" s="230" t="str">
        <f t="shared" si="63"/>
        <v/>
      </c>
      <c r="H431" s="231" t="str">
        <f t="shared" si="64"/>
        <v/>
      </c>
      <c r="I431" s="228">
        <f t="shared" si="65"/>
        <v>0</v>
      </c>
      <c r="J431" s="228">
        <f t="shared" si="66"/>
        <v>291</v>
      </c>
      <c r="Q431" s="504">
        <f t="shared" ca="1" si="69"/>
        <v>44275</v>
      </c>
    </row>
    <row r="432" spans="2:17">
      <c r="B432" s="226" t="str">
        <f t="shared" si="60"/>
        <v/>
      </c>
      <c r="C432" s="227">
        <f t="shared" si="67"/>
        <v>44231</v>
      </c>
      <c r="D432" s="228">
        <f t="shared" si="68"/>
        <v>4</v>
      </c>
      <c r="E432" s="229">
        <f t="shared" si="61"/>
        <v>44231</v>
      </c>
      <c r="F432" s="228">
        <f t="shared" si="62"/>
        <v>0</v>
      </c>
      <c r="G432" s="230" t="str">
        <f t="shared" si="63"/>
        <v/>
      </c>
      <c r="H432" s="231" t="str">
        <f t="shared" si="64"/>
        <v/>
      </c>
      <c r="I432" s="228">
        <f t="shared" si="65"/>
        <v>0</v>
      </c>
      <c r="J432" s="228">
        <f t="shared" si="66"/>
        <v>292</v>
      </c>
      <c r="Q432" s="504">
        <f t="shared" ca="1" si="69"/>
        <v>44276</v>
      </c>
    </row>
    <row r="433" spans="2:17">
      <c r="B433" s="226" t="str">
        <f t="shared" si="60"/>
        <v/>
      </c>
      <c r="C433" s="227">
        <f t="shared" si="67"/>
        <v>44232</v>
      </c>
      <c r="D433" s="228">
        <f t="shared" si="68"/>
        <v>5</v>
      </c>
      <c r="E433" s="229">
        <f t="shared" si="61"/>
        <v>44232</v>
      </c>
      <c r="F433" s="228">
        <f t="shared" si="62"/>
        <v>0</v>
      </c>
      <c r="G433" s="230" t="str">
        <f t="shared" si="63"/>
        <v/>
      </c>
      <c r="H433" s="231" t="str">
        <f t="shared" si="64"/>
        <v/>
      </c>
      <c r="I433" s="228">
        <f t="shared" si="65"/>
        <v>0</v>
      </c>
      <c r="J433" s="228">
        <f t="shared" si="66"/>
        <v>293</v>
      </c>
      <c r="Q433" s="504">
        <f t="shared" ca="1" si="69"/>
        <v>44277</v>
      </c>
    </row>
    <row r="434" spans="2:17">
      <c r="B434" s="226" t="str">
        <f t="shared" si="60"/>
        <v/>
      </c>
      <c r="C434" s="227">
        <f t="shared" si="67"/>
        <v>44233</v>
      </c>
      <c r="D434" s="228">
        <f t="shared" si="68"/>
        <v>6</v>
      </c>
      <c r="E434" s="229">
        <f t="shared" si="61"/>
        <v>44233</v>
      </c>
      <c r="F434" s="228">
        <f t="shared" si="62"/>
        <v>0</v>
      </c>
      <c r="G434" s="230" t="str">
        <f t="shared" si="63"/>
        <v/>
      </c>
      <c r="H434" s="231" t="str">
        <f t="shared" si="64"/>
        <v/>
      </c>
      <c r="I434" s="228">
        <f t="shared" si="65"/>
        <v>1</v>
      </c>
      <c r="J434" s="228">
        <f t="shared" si="66"/>
        <v>293</v>
      </c>
      <c r="Q434" s="504">
        <f t="shared" ca="1" si="69"/>
        <v>44278</v>
      </c>
    </row>
    <row r="435" spans="2:17">
      <c r="B435" s="226" t="str">
        <f t="shared" si="60"/>
        <v/>
      </c>
      <c r="C435" s="227">
        <f t="shared" si="67"/>
        <v>44234</v>
      </c>
      <c r="D435" s="228">
        <f t="shared" si="68"/>
        <v>7</v>
      </c>
      <c r="E435" s="229">
        <f t="shared" si="61"/>
        <v>44234</v>
      </c>
      <c r="F435" s="228">
        <f t="shared" si="62"/>
        <v>0</v>
      </c>
      <c r="G435" s="230" t="str">
        <f t="shared" si="63"/>
        <v/>
      </c>
      <c r="H435" s="231" t="str">
        <f t="shared" si="64"/>
        <v/>
      </c>
      <c r="I435" s="228">
        <f t="shared" si="65"/>
        <v>1</v>
      </c>
      <c r="J435" s="228">
        <f t="shared" si="66"/>
        <v>293</v>
      </c>
      <c r="Q435" s="504">
        <f t="shared" ca="1" si="69"/>
        <v>44279</v>
      </c>
    </row>
    <row r="436" spans="2:17">
      <c r="B436" s="226" t="str">
        <f t="shared" si="60"/>
        <v/>
      </c>
      <c r="C436" s="227">
        <f t="shared" si="67"/>
        <v>44235</v>
      </c>
      <c r="D436" s="228">
        <f t="shared" si="68"/>
        <v>1</v>
      </c>
      <c r="E436" s="229">
        <f t="shared" si="61"/>
        <v>44235</v>
      </c>
      <c r="F436" s="228">
        <f t="shared" si="62"/>
        <v>0</v>
      </c>
      <c r="G436" s="230" t="str">
        <f t="shared" si="63"/>
        <v/>
      </c>
      <c r="H436" s="231" t="str">
        <f t="shared" si="64"/>
        <v/>
      </c>
      <c r="I436" s="228">
        <f t="shared" si="65"/>
        <v>0</v>
      </c>
      <c r="J436" s="228">
        <f t="shared" si="66"/>
        <v>294</v>
      </c>
      <c r="Q436" s="504">
        <f t="shared" ca="1" si="69"/>
        <v>44280</v>
      </c>
    </row>
    <row r="437" spans="2:17">
      <c r="B437" s="226" t="str">
        <f t="shared" si="60"/>
        <v/>
      </c>
      <c r="C437" s="227">
        <f t="shared" si="67"/>
        <v>44236</v>
      </c>
      <c r="D437" s="228">
        <f t="shared" si="68"/>
        <v>2</v>
      </c>
      <c r="E437" s="229">
        <f t="shared" si="61"/>
        <v>44236</v>
      </c>
      <c r="F437" s="228">
        <f t="shared" si="62"/>
        <v>0</v>
      </c>
      <c r="G437" s="230" t="str">
        <f t="shared" si="63"/>
        <v/>
      </c>
      <c r="H437" s="231" t="str">
        <f t="shared" si="64"/>
        <v/>
      </c>
      <c r="I437" s="228">
        <f t="shared" si="65"/>
        <v>0</v>
      </c>
      <c r="J437" s="228">
        <f t="shared" si="66"/>
        <v>295</v>
      </c>
      <c r="Q437" s="504">
        <f t="shared" ca="1" si="69"/>
        <v>44281</v>
      </c>
    </row>
    <row r="438" spans="2:17">
      <c r="B438" s="226" t="str">
        <f t="shared" si="60"/>
        <v/>
      </c>
      <c r="C438" s="227">
        <f t="shared" si="67"/>
        <v>44237</v>
      </c>
      <c r="D438" s="228">
        <f t="shared" si="68"/>
        <v>3</v>
      </c>
      <c r="E438" s="229">
        <f t="shared" si="61"/>
        <v>44237</v>
      </c>
      <c r="F438" s="228">
        <f t="shared" si="62"/>
        <v>0</v>
      </c>
      <c r="G438" s="230" t="str">
        <f t="shared" si="63"/>
        <v/>
      </c>
      <c r="H438" s="231" t="str">
        <f t="shared" si="64"/>
        <v/>
      </c>
      <c r="I438" s="228">
        <f t="shared" si="65"/>
        <v>0</v>
      </c>
      <c r="J438" s="228">
        <f t="shared" si="66"/>
        <v>296</v>
      </c>
      <c r="Q438" s="504">
        <f t="shared" ca="1" si="69"/>
        <v>44282</v>
      </c>
    </row>
    <row r="439" spans="2:17">
      <c r="B439" s="226" t="str">
        <f t="shared" si="60"/>
        <v/>
      </c>
      <c r="C439" s="227">
        <f t="shared" si="67"/>
        <v>44238</v>
      </c>
      <c r="D439" s="228">
        <f t="shared" si="68"/>
        <v>4</v>
      </c>
      <c r="E439" s="229">
        <f t="shared" si="61"/>
        <v>44238</v>
      </c>
      <c r="F439" s="228">
        <f t="shared" si="62"/>
        <v>0</v>
      </c>
      <c r="G439" s="230" t="str">
        <f t="shared" si="63"/>
        <v/>
      </c>
      <c r="H439" s="231" t="str">
        <f t="shared" si="64"/>
        <v/>
      </c>
      <c r="I439" s="228">
        <f t="shared" si="65"/>
        <v>0</v>
      </c>
      <c r="J439" s="228">
        <f t="shared" si="66"/>
        <v>297</v>
      </c>
      <c r="Q439" s="504">
        <f t="shared" ca="1" si="69"/>
        <v>44283</v>
      </c>
    </row>
    <row r="440" spans="2:17">
      <c r="B440" s="226" t="str">
        <f t="shared" si="60"/>
        <v/>
      </c>
      <c r="C440" s="227">
        <f t="shared" si="67"/>
        <v>44239</v>
      </c>
      <c r="D440" s="228">
        <f t="shared" si="68"/>
        <v>5</v>
      </c>
      <c r="E440" s="229">
        <f t="shared" si="61"/>
        <v>44239</v>
      </c>
      <c r="F440" s="228">
        <f t="shared" si="62"/>
        <v>0</v>
      </c>
      <c r="G440" s="230" t="str">
        <f t="shared" si="63"/>
        <v/>
      </c>
      <c r="H440" s="231" t="str">
        <f t="shared" si="64"/>
        <v/>
      </c>
      <c r="I440" s="228">
        <f t="shared" si="65"/>
        <v>0</v>
      </c>
      <c r="J440" s="228">
        <f t="shared" si="66"/>
        <v>298</v>
      </c>
      <c r="Q440" s="504">
        <f t="shared" ca="1" si="69"/>
        <v>44284</v>
      </c>
    </row>
    <row r="441" spans="2:17">
      <c r="B441" s="226" t="str">
        <f t="shared" si="60"/>
        <v/>
      </c>
      <c r="C441" s="227">
        <f t="shared" si="67"/>
        <v>44240</v>
      </c>
      <c r="D441" s="228">
        <f t="shared" si="68"/>
        <v>6</v>
      </c>
      <c r="E441" s="229">
        <f t="shared" si="61"/>
        <v>44240</v>
      </c>
      <c r="F441" s="228">
        <f t="shared" si="62"/>
        <v>0</v>
      </c>
      <c r="G441" s="230" t="str">
        <f t="shared" si="63"/>
        <v/>
      </c>
      <c r="H441" s="231" t="str">
        <f t="shared" si="64"/>
        <v/>
      </c>
      <c r="I441" s="228">
        <f t="shared" si="65"/>
        <v>1</v>
      </c>
      <c r="J441" s="228">
        <f t="shared" si="66"/>
        <v>298</v>
      </c>
      <c r="Q441" s="504">
        <f t="shared" ca="1" si="69"/>
        <v>44285</v>
      </c>
    </row>
    <row r="442" spans="2:17">
      <c r="B442" s="226" t="str">
        <f t="shared" si="60"/>
        <v/>
      </c>
      <c r="C442" s="227">
        <f t="shared" si="67"/>
        <v>44241</v>
      </c>
      <c r="D442" s="228">
        <f t="shared" si="68"/>
        <v>7</v>
      </c>
      <c r="E442" s="229">
        <f t="shared" si="61"/>
        <v>44241</v>
      </c>
      <c r="F442" s="228">
        <f t="shared" si="62"/>
        <v>0</v>
      </c>
      <c r="G442" s="230" t="str">
        <f t="shared" si="63"/>
        <v/>
      </c>
      <c r="H442" s="231" t="str">
        <f t="shared" si="64"/>
        <v/>
      </c>
      <c r="I442" s="228">
        <f t="shared" si="65"/>
        <v>1</v>
      </c>
      <c r="J442" s="228">
        <f t="shared" si="66"/>
        <v>298</v>
      </c>
      <c r="Q442" s="504">
        <f t="shared" ca="1" si="69"/>
        <v>44286</v>
      </c>
    </row>
    <row r="443" spans="2:17">
      <c r="B443" s="226" t="str">
        <f t="shared" si="60"/>
        <v/>
      </c>
      <c r="C443" s="227">
        <f t="shared" si="67"/>
        <v>44242</v>
      </c>
      <c r="D443" s="228">
        <f t="shared" si="68"/>
        <v>1</v>
      </c>
      <c r="E443" s="229">
        <f t="shared" si="61"/>
        <v>44242</v>
      </c>
      <c r="F443" s="228">
        <f t="shared" si="62"/>
        <v>0</v>
      </c>
      <c r="G443" s="230" t="str">
        <f t="shared" si="63"/>
        <v/>
      </c>
      <c r="H443" s="231" t="str">
        <f t="shared" si="64"/>
        <v/>
      </c>
      <c r="I443" s="228">
        <f t="shared" si="65"/>
        <v>0</v>
      </c>
      <c r="J443" s="228">
        <f t="shared" si="66"/>
        <v>299</v>
      </c>
      <c r="Q443" s="504">
        <f t="shared" ca="1" si="69"/>
        <v>44287</v>
      </c>
    </row>
    <row r="444" spans="2:17">
      <c r="B444" s="226" t="str">
        <f t="shared" si="60"/>
        <v/>
      </c>
      <c r="C444" s="227">
        <f t="shared" si="67"/>
        <v>44243</v>
      </c>
      <c r="D444" s="228">
        <f t="shared" si="68"/>
        <v>2</v>
      </c>
      <c r="E444" s="229">
        <f t="shared" si="61"/>
        <v>44243</v>
      </c>
      <c r="F444" s="228">
        <f t="shared" si="62"/>
        <v>0</v>
      </c>
      <c r="G444" s="230" t="str">
        <f t="shared" si="63"/>
        <v/>
      </c>
      <c r="H444" s="231" t="str">
        <f t="shared" si="64"/>
        <v/>
      </c>
      <c r="I444" s="228">
        <f t="shared" si="65"/>
        <v>0</v>
      </c>
      <c r="J444" s="228">
        <f t="shared" si="66"/>
        <v>300</v>
      </c>
      <c r="Q444" s="504">
        <f t="shared" ca="1" si="69"/>
        <v>44288</v>
      </c>
    </row>
    <row r="445" spans="2:17">
      <c r="B445" s="226" t="str">
        <f t="shared" si="60"/>
        <v/>
      </c>
      <c r="C445" s="227">
        <f t="shared" si="67"/>
        <v>44244</v>
      </c>
      <c r="D445" s="228">
        <f t="shared" si="68"/>
        <v>3</v>
      </c>
      <c r="E445" s="229">
        <f t="shared" si="61"/>
        <v>44244</v>
      </c>
      <c r="F445" s="228">
        <f t="shared" si="62"/>
        <v>0</v>
      </c>
      <c r="G445" s="230" t="str">
        <f t="shared" si="63"/>
        <v/>
      </c>
      <c r="H445" s="231" t="str">
        <f t="shared" si="64"/>
        <v/>
      </c>
      <c r="I445" s="228">
        <f t="shared" si="65"/>
        <v>0</v>
      </c>
      <c r="J445" s="228">
        <f t="shared" si="66"/>
        <v>301</v>
      </c>
      <c r="Q445" s="504">
        <f t="shared" ca="1" si="69"/>
        <v>44289</v>
      </c>
    </row>
    <row r="446" spans="2:17">
      <c r="B446" s="226" t="str">
        <f t="shared" si="60"/>
        <v/>
      </c>
      <c r="C446" s="227">
        <f t="shared" si="67"/>
        <v>44245</v>
      </c>
      <c r="D446" s="228">
        <f t="shared" si="68"/>
        <v>4</v>
      </c>
      <c r="E446" s="229">
        <f t="shared" si="61"/>
        <v>44245</v>
      </c>
      <c r="F446" s="228">
        <f t="shared" si="62"/>
        <v>0</v>
      </c>
      <c r="G446" s="230" t="str">
        <f t="shared" si="63"/>
        <v/>
      </c>
      <c r="H446" s="231" t="str">
        <f t="shared" si="64"/>
        <v/>
      </c>
      <c r="I446" s="228">
        <f t="shared" si="65"/>
        <v>0</v>
      </c>
      <c r="J446" s="228">
        <f t="shared" si="66"/>
        <v>302</v>
      </c>
      <c r="Q446" s="504">
        <f t="shared" ca="1" si="69"/>
        <v>44290</v>
      </c>
    </row>
    <row r="447" spans="2:17">
      <c r="B447" s="226" t="str">
        <f t="shared" si="60"/>
        <v/>
      </c>
      <c r="C447" s="227">
        <f t="shared" si="67"/>
        <v>44246</v>
      </c>
      <c r="D447" s="228">
        <f t="shared" si="68"/>
        <v>5</v>
      </c>
      <c r="E447" s="229">
        <f t="shared" si="61"/>
        <v>44246</v>
      </c>
      <c r="F447" s="228">
        <f t="shared" si="62"/>
        <v>0</v>
      </c>
      <c r="G447" s="230" t="str">
        <f t="shared" si="63"/>
        <v/>
      </c>
      <c r="H447" s="231" t="str">
        <f t="shared" si="64"/>
        <v/>
      </c>
      <c r="I447" s="228">
        <f t="shared" si="65"/>
        <v>0</v>
      </c>
      <c r="J447" s="228">
        <f t="shared" si="66"/>
        <v>303</v>
      </c>
      <c r="Q447" s="504">
        <f t="shared" ca="1" si="69"/>
        <v>44291</v>
      </c>
    </row>
    <row r="448" spans="2:17">
      <c r="B448" s="226" t="str">
        <f t="shared" si="60"/>
        <v/>
      </c>
      <c r="C448" s="227">
        <f t="shared" si="67"/>
        <v>44247</v>
      </c>
      <c r="D448" s="228">
        <f t="shared" si="68"/>
        <v>6</v>
      </c>
      <c r="E448" s="229">
        <f t="shared" si="61"/>
        <v>44247</v>
      </c>
      <c r="F448" s="228">
        <f t="shared" si="62"/>
        <v>0</v>
      </c>
      <c r="G448" s="230" t="str">
        <f t="shared" si="63"/>
        <v/>
      </c>
      <c r="H448" s="231" t="str">
        <f t="shared" si="64"/>
        <v/>
      </c>
      <c r="I448" s="228">
        <f t="shared" si="65"/>
        <v>1</v>
      </c>
      <c r="J448" s="228">
        <f t="shared" si="66"/>
        <v>303</v>
      </c>
      <c r="Q448" s="504">
        <f t="shared" ca="1" si="69"/>
        <v>44292</v>
      </c>
    </row>
    <row r="449" spans="2:17">
      <c r="B449" s="226" t="str">
        <f t="shared" si="60"/>
        <v/>
      </c>
      <c r="C449" s="227">
        <f t="shared" si="67"/>
        <v>44248</v>
      </c>
      <c r="D449" s="228">
        <f t="shared" si="68"/>
        <v>7</v>
      </c>
      <c r="E449" s="229">
        <f t="shared" si="61"/>
        <v>44248</v>
      </c>
      <c r="F449" s="228">
        <f t="shared" si="62"/>
        <v>0</v>
      </c>
      <c r="G449" s="230" t="str">
        <f t="shared" si="63"/>
        <v/>
      </c>
      <c r="H449" s="231" t="str">
        <f t="shared" si="64"/>
        <v/>
      </c>
      <c r="I449" s="228">
        <f t="shared" si="65"/>
        <v>1</v>
      </c>
      <c r="J449" s="228">
        <f t="shared" si="66"/>
        <v>303</v>
      </c>
      <c r="Q449" s="504">
        <f t="shared" ca="1" si="69"/>
        <v>44293</v>
      </c>
    </row>
    <row r="450" spans="2:17">
      <c r="B450" s="226" t="str">
        <f t="shared" si="60"/>
        <v/>
      </c>
      <c r="C450" s="227">
        <f t="shared" si="67"/>
        <v>44249</v>
      </c>
      <c r="D450" s="228">
        <f t="shared" si="68"/>
        <v>1</v>
      </c>
      <c r="E450" s="229">
        <f t="shared" si="61"/>
        <v>44249</v>
      </c>
      <c r="F450" s="228">
        <f t="shared" si="62"/>
        <v>0</v>
      </c>
      <c r="G450" s="230" t="str">
        <f t="shared" si="63"/>
        <v/>
      </c>
      <c r="H450" s="231" t="str">
        <f t="shared" si="64"/>
        <v/>
      </c>
      <c r="I450" s="228">
        <f t="shared" si="65"/>
        <v>0</v>
      </c>
      <c r="J450" s="228">
        <f t="shared" si="66"/>
        <v>304</v>
      </c>
      <c r="Q450" s="504">
        <f t="shared" ca="1" si="69"/>
        <v>44294</v>
      </c>
    </row>
    <row r="451" spans="2:17">
      <c r="B451" s="226" t="str">
        <f t="shared" si="60"/>
        <v/>
      </c>
      <c r="C451" s="227">
        <f t="shared" si="67"/>
        <v>44250</v>
      </c>
      <c r="D451" s="228">
        <f t="shared" si="68"/>
        <v>2</v>
      </c>
      <c r="E451" s="229">
        <f t="shared" si="61"/>
        <v>44250</v>
      </c>
      <c r="F451" s="228">
        <f t="shared" si="62"/>
        <v>0</v>
      </c>
      <c r="G451" s="230" t="str">
        <f t="shared" si="63"/>
        <v/>
      </c>
      <c r="H451" s="231" t="str">
        <f t="shared" si="64"/>
        <v/>
      </c>
      <c r="I451" s="228">
        <f t="shared" si="65"/>
        <v>0</v>
      </c>
      <c r="J451" s="228">
        <f t="shared" si="66"/>
        <v>305</v>
      </c>
      <c r="Q451" s="504">
        <f t="shared" ca="1" si="69"/>
        <v>44295</v>
      </c>
    </row>
    <row r="452" spans="2:17">
      <c r="B452" s="226" t="str">
        <f t="shared" si="60"/>
        <v/>
      </c>
      <c r="C452" s="227">
        <f t="shared" si="67"/>
        <v>44251</v>
      </c>
      <c r="D452" s="228">
        <f t="shared" si="68"/>
        <v>3</v>
      </c>
      <c r="E452" s="229">
        <f t="shared" si="61"/>
        <v>44251</v>
      </c>
      <c r="F452" s="228">
        <f t="shared" si="62"/>
        <v>0</v>
      </c>
      <c r="G452" s="230" t="str">
        <f t="shared" si="63"/>
        <v/>
      </c>
      <c r="H452" s="231" t="str">
        <f t="shared" si="64"/>
        <v/>
      </c>
      <c r="I452" s="228">
        <f t="shared" si="65"/>
        <v>0</v>
      </c>
      <c r="J452" s="228">
        <f t="shared" si="66"/>
        <v>306</v>
      </c>
      <c r="Q452" s="504">
        <f t="shared" ca="1" si="69"/>
        <v>44296</v>
      </c>
    </row>
    <row r="453" spans="2:17">
      <c r="B453" s="226" t="str">
        <f t="shared" si="60"/>
        <v/>
      </c>
      <c r="C453" s="227">
        <f t="shared" si="67"/>
        <v>44252</v>
      </c>
      <c r="D453" s="228">
        <f t="shared" si="68"/>
        <v>4</v>
      </c>
      <c r="E453" s="229">
        <f t="shared" si="61"/>
        <v>44252</v>
      </c>
      <c r="F453" s="228">
        <f t="shared" si="62"/>
        <v>0</v>
      </c>
      <c r="G453" s="230" t="str">
        <f t="shared" si="63"/>
        <v/>
      </c>
      <c r="H453" s="231" t="str">
        <f t="shared" si="64"/>
        <v/>
      </c>
      <c r="I453" s="228">
        <f t="shared" si="65"/>
        <v>0</v>
      </c>
      <c r="J453" s="228">
        <f t="shared" si="66"/>
        <v>307</v>
      </c>
      <c r="Q453" s="504">
        <f t="shared" ca="1" si="69"/>
        <v>44297</v>
      </c>
    </row>
    <row r="454" spans="2:17">
      <c r="B454" s="226" t="str">
        <f t="shared" si="60"/>
        <v/>
      </c>
      <c r="C454" s="227">
        <f t="shared" si="67"/>
        <v>44253</v>
      </c>
      <c r="D454" s="228">
        <f t="shared" si="68"/>
        <v>5</v>
      </c>
      <c r="E454" s="229">
        <f t="shared" si="61"/>
        <v>44253</v>
      </c>
      <c r="F454" s="228">
        <f t="shared" si="62"/>
        <v>0</v>
      </c>
      <c r="G454" s="230" t="str">
        <f t="shared" si="63"/>
        <v/>
      </c>
      <c r="H454" s="231" t="str">
        <f t="shared" si="64"/>
        <v/>
      </c>
      <c r="I454" s="228">
        <f t="shared" si="65"/>
        <v>0</v>
      </c>
      <c r="J454" s="228">
        <f t="shared" si="66"/>
        <v>308</v>
      </c>
      <c r="Q454" s="504">
        <f t="shared" ca="1" si="69"/>
        <v>44298</v>
      </c>
    </row>
    <row r="455" spans="2:17">
      <c r="B455" s="226" t="str">
        <f t="shared" si="60"/>
        <v/>
      </c>
      <c r="C455" s="227">
        <f t="shared" si="67"/>
        <v>44254</v>
      </c>
      <c r="D455" s="228">
        <f t="shared" si="68"/>
        <v>6</v>
      </c>
      <c r="E455" s="229">
        <f t="shared" si="61"/>
        <v>44254</v>
      </c>
      <c r="F455" s="228">
        <f t="shared" si="62"/>
        <v>0</v>
      </c>
      <c r="G455" s="230" t="str">
        <f t="shared" si="63"/>
        <v/>
      </c>
      <c r="H455" s="231" t="str">
        <f t="shared" si="64"/>
        <v/>
      </c>
      <c r="I455" s="228">
        <f t="shared" si="65"/>
        <v>1</v>
      </c>
      <c r="J455" s="228">
        <f t="shared" si="66"/>
        <v>308</v>
      </c>
      <c r="Q455" s="504">
        <f t="shared" ca="1" si="69"/>
        <v>44299</v>
      </c>
    </row>
    <row r="456" spans="2:17">
      <c r="B456" s="226" t="str">
        <f t="shared" si="60"/>
        <v/>
      </c>
      <c r="C456" s="227">
        <f t="shared" si="67"/>
        <v>44255</v>
      </c>
      <c r="D456" s="228">
        <f t="shared" si="68"/>
        <v>7</v>
      </c>
      <c r="E456" s="229">
        <f t="shared" si="61"/>
        <v>44255</v>
      </c>
      <c r="F456" s="228">
        <f t="shared" si="62"/>
        <v>0</v>
      </c>
      <c r="G456" s="230" t="str">
        <f t="shared" si="63"/>
        <v/>
      </c>
      <c r="H456" s="231" t="str">
        <f t="shared" si="64"/>
        <v/>
      </c>
      <c r="I456" s="228">
        <f t="shared" si="65"/>
        <v>1</v>
      </c>
      <c r="J456" s="228">
        <f t="shared" si="66"/>
        <v>308</v>
      </c>
      <c r="Q456" s="504">
        <f t="shared" ca="1" si="69"/>
        <v>44300</v>
      </c>
    </row>
    <row r="457" spans="2:17">
      <c r="B457" s="226" t="str">
        <f t="shared" si="60"/>
        <v/>
      </c>
      <c r="C457" s="227">
        <f t="shared" si="67"/>
        <v>44256</v>
      </c>
      <c r="D457" s="228">
        <f t="shared" si="68"/>
        <v>1</v>
      </c>
      <c r="E457" s="229">
        <f t="shared" si="61"/>
        <v>44256</v>
      </c>
      <c r="F457" s="228">
        <f t="shared" si="62"/>
        <v>0</v>
      </c>
      <c r="G457" s="230" t="str">
        <f t="shared" si="63"/>
        <v/>
      </c>
      <c r="H457" s="231" t="str">
        <f t="shared" si="64"/>
        <v/>
      </c>
      <c r="I457" s="228">
        <f t="shared" si="65"/>
        <v>0</v>
      </c>
      <c r="J457" s="228">
        <f t="shared" si="66"/>
        <v>309</v>
      </c>
      <c r="Q457" s="504">
        <f t="shared" ca="1" si="69"/>
        <v>44301</v>
      </c>
    </row>
    <row r="458" spans="2:17">
      <c r="B458" s="226" t="str">
        <f t="shared" si="60"/>
        <v/>
      </c>
      <c r="C458" s="227">
        <f t="shared" si="67"/>
        <v>44257</v>
      </c>
      <c r="D458" s="228">
        <f t="shared" si="68"/>
        <v>2</v>
      </c>
      <c r="E458" s="229">
        <f t="shared" si="61"/>
        <v>44257</v>
      </c>
      <c r="F458" s="228">
        <f t="shared" si="62"/>
        <v>0</v>
      </c>
      <c r="G458" s="230" t="str">
        <f t="shared" si="63"/>
        <v/>
      </c>
      <c r="H458" s="231" t="str">
        <f t="shared" si="64"/>
        <v/>
      </c>
      <c r="I458" s="228">
        <f t="shared" si="65"/>
        <v>0</v>
      </c>
      <c r="J458" s="228">
        <f t="shared" si="66"/>
        <v>310</v>
      </c>
      <c r="Q458" s="504">
        <f t="shared" ca="1" si="69"/>
        <v>44302</v>
      </c>
    </row>
    <row r="459" spans="2:17">
      <c r="B459" s="226" t="str">
        <f t="shared" si="60"/>
        <v/>
      </c>
      <c r="C459" s="227">
        <f t="shared" si="67"/>
        <v>44258</v>
      </c>
      <c r="D459" s="228">
        <f t="shared" si="68"/>
        <v>3</v>
      </c>
      <c r="E459" s="229">
        <f t="shared" si="61"/>
        <v>44258</v>
      </c>
      <c r="F459" s="228">
        <f t="shared" si="62"/>
        <v>0</v>
      </c>
      <c r="G459" s="230" t="str">
        <f t="shared" si="63"/>
        <v/>
      </c>
      <c r="H459" s="231" t="str">
        <f t="shared" si="64"/>
        <v/>
      </c>
      <c r="I459" s="228">
        <f t="shared" si="65"/>
        <v>0</v>
      </c>
      <c r="J459" s="228">
        <f t="shared" si="66"/>
        <v>311</v>
      </c>
      <c r="Q459" s="504">
        <f t="shared" ca="1" si="69"/>
        <v>44303</v>
      </c>
    </row>
    <row r="460" spans="2:17">
      <c r="B460" s="226" t="str">
        <f t="shared" si="60"/>
        <v/>
      </c>
      <c r="C460" s="227">
        <f t="shared" si="67"/>
        <v>44259</v>
      </c>
      <c r="D460" s="228">
        <f t="shared" si="68"/>
        <v>4</v>
      </c>
      <c r="E460" s="229">
        <f t="shared" si="61"/>
        <v>44259</v>
      </c>
      <c r="F460" s="228">
        <f t="shared" si="62"/>
        <v>0</v>
      </c>
      <c r="G460" s="230" t="str">
        <f t="shared" si="63"/>
        <v/>
      </c>
      <c r="H460" s="231" t="str">
        <f t="shared" si="64"/>
        <v/>
      </c>
      <c r="I460" s="228">
        <f t="shared" si="65"/>
        <v>0</v>
      </c>
      <c r="J460" s="228">
        <f t="shared" si="66"/>
        <v>312</v>
      </c>
      <c r="Q460" s="504">
        <f t="shared" ca="1" si="69"/>
        <v>44304</v>
      </c>
    </row>
    <row r="461" spans="2:17">
      <c r="B461" s="226" t="str">
        <f t="shared" si="60"/>
        <v/>
      </c>
      <c r="C461" s="227">
        <f t="shared" si="67"/>
        <v>44260</v>
      </c>
      <c r="D461" s="228">
        <f t="shared" si="68"/>
        <v>5</v>
      </c>
      <c r="E461" s="229">
        <f t="shared" si="61"/>
        <v>44260</v>
      </c>
      <c r="F461" s="228">
        <f t="shared" si="62"/>
        <v>0</v>
      </c>
      <c r="G461" s="230" t="str">
        <f t="shared" si="63"/>
        <v/>
      </c>
      <c r="H461" s="231" t="str">
        <f t="shared" si="64"/>
        <v/>
      </c>
      <c r="I461" s="228">
        <f t="shared" si="65"/>
        <v>0</v>
      </c>
      <c r="J461" s="228">
        <f t="shared" si="66"/>
        <v>313</v>
      </c>
      <c r="Q461" s="504">
        <f t="shared" ca="1" si="69"/>
        <v>44305</v>
      </c>
    </row>
    <row r="462" spans="2:17">
      <c r="B462" s="226" t="str">
        <f t="shared" ref="B462:B525" si="70">IF(J462=$C$4,"Til","")</f>
        <v/>
      </c>
      <c r="C462" s="227">
        <f t="shared" si="67"/>
        <v>44261</v>
      </c>
      <c r="D462" s="228">
        <f t="shared" si="68"/>
        <v>6</v>
      </c>
      <c r="E462" s="229">
        <f t="shared" ref="E462:E525" si="71">C462</f>
        <v>44261</v>
      </c>
      <c r="F462" s="228">
        <f t="shared" ref="F462:F525" si="72">IF(C462="","",IFERROR(MATCH(C462,INDEX(caHellig,,2),0),0))</f>
        <v>0</v>
      </c>
      <c r="G462" s="230" t="str">
        <f t="shared" ref="G462:G525" si="73">IF(C462="","",IF(F462&gt;0,INDEX(caHellig,F462,2),""))</f>
        <v/>
      </c>
      <c r="H462" s="231" t="str">
        <f t="shared" ref="H462:H525" si="74">IF(C462="","",IF(F462&gt;0,INDEX(caHellig,F462,1),""))</f>
        <v/>
      </c>
      <c r="I462" s="228">
        <f t="shared" ref="I462:I525" si="75">IF(C462="","",IF(OR(D462&gt;5,F462,0),1,0))</f>
        <v>1</v>
      </c>
      <c r="J462" s="228">
        <f t="shared" ref="J462:J525" si="76">IF(C462="","",IF(I462=0,J461+1,J461))</f>
        <v>313</v>
      </c>
      <c r="Q462" s="504">
        <f t="shared" ca="1" si="69"/>
        <v>44306</v>
      </c>
    </row>
    <row r="463" spans="2:17">
      <c r="B463" s="226" t="str">
        <f t="shared" si="70"/>
        <v/>
      </c>
      <c r="C463" s="227">
        <f t="shared" ref="C463:C526" si="77">C462+1</f>
        <v>44262</v>
      </c>
      <c r="D463" s="228">
        <f t="shared" ref="D463:D526" si="78">IF(C463&lt;&gt;"",WEEKDAY(C463,2),"")</f>
        <v>7</v>
      </c>
      <c r="E463" s="229">
        <f t="shared" si="71"/>
        <v>44262</v>
      </c>
      <c r="F463" s="228">
        <f t="shared" si="72"/>
        <v>0</v>
      </c>
      <c r="G463" s="230" t="str">
        <f t="shared" si="73"/>
        <v/>
      </c>
      <c r="H463" s="231" t="str">
        <f t="shared" si="74"/>
        <v/>
      </c>
      <c r="I463" s="228">
        <f t="shared" si="75"/>
        <v>1</v>
      </c>
      <c r="J463" s="228">
        <f t="shared" si="76"/>
        <v>313</v>
      </c>
      <c r="Q463" s="504">
        <f t="shared" ref="Q463:Q526" ca="1" si="79">Q462+1</f>
        <v>44307</v>
      </c>
    </row>
    <row r="464" spans="2:17">
      <c r="B464" s="226" t="str">
        <f t="shared" si="70"/>
        <v/>
      </c>
      <c r="C464" s="227">
        <f t="shared" si="77"/>
        <v>44263</v>
      </c>
      <c r="D464" s="228">
        <f t="shared" si="78"/>
        <v>1</v>
      </c>
      <c r="E464" s="229">
        <f t="shared" si="71"/>
        <v>44263</v>
      </c>
      <c r="F464" s="228">
        <f t="shared" si="72"/>
        <v>0</v>
      </c>
      <c r="G464" s="230" t="str">
        <f t="shared" si="73"/>
        <v/>
      </c>
      <c r="H464" s="231" t="str">
        <f t="shared" si="74"/>
        <v/>
      </c>
      <c r="I464" s="228">
        <f t="shared" si="75"/>
        <v>0</v>
      </c>
      <c r="J464" s="228">
        <f t="shared" si="76"/>
        <v>314</v>
      </c>
      <c r="Q464" s="504">
        <f t="shared" ca="1" si="79"/>
        <v>44308</v>
      </c>
    </row>
    <row r="465" spans="2:17">
      <c r="B465" s="226" t="str">
        <f t="shared" si="70"/>
        <v/>
      </c>
      <c r="C465" s="227">
        <f t="shared" si="77"/>
        <v>44264</v>
      </c>
      <c r="D465" s="228">
        <f t="shared" si="78"/>
        <v>2</v>
      </c>
      <c r="E465" s="229">
        <f t="shared" si="71"/>
        <v>44264</v>
      </c>
      <c r="F465" s="228">
        <f t="shared" si="72"/>
        <v>0</v>
      </c>
      <c r="G465" s="230" t="str">
        <f t="shared" si="73"/>
        <v/>
      </c>
      <c r="H465" s="231" t="str">
        <f t="shared" si="74"/>
        <v/>
      </c>
      <c r="I465" s="228">
        <f t="shared" si="75"/>
        <v>0</v>
      </c>
      <c r="J465" s="228">
        <f t="shared" si="76"/>
        <v>315</v>
      </c>
      <c r="Q465" s="504">
        <f t="shared" ca="1" si="79"/>
        <v>44309</v>
      </c>
    </row>
    <row r="466" spans="2:17">
      <c r="B466" s="226" t="str">
        <f t="shared" si="70"/>
        <v/>
      </c>
      <c r="C466" s="227">
        <f t="shared" si="77"/>
        <v>44265</v>
      </c>
      <c r="D466" s="228">
        <f t="shared" si="78"/>
        <v>3</v>
      </c>
      <c r="E466" s="229">
        <f t="shared" si="71"/>
        <v>44265</v>
      </c>
      <c r="F466" s="228">
        <f t="shared" si="72"/>
        <v>0</v>
      </c>
      <c r="G466" s="230" t="str">
        <f t="shared" si="73"/>
        <v/>
      </c>
      <c r="H466" s="231" t="str">
        <f t="shared" si="74"/>
        <v/>
      </c>
      <c r="I466" s="228">
        <f t="shared" si="75"/>
        <v>0</v>
      </c>
      <c r="J466" s="228">
        <f t="shared" si="76"/>
        <v>316</v>
      </c>
      <c r="Q466" s="504">
        <f t="shared" ca="1" si="79"/>
        <v>44310</v>
      </c>
    </row>
    <row r="467" spans="2:17">
      <c r="B467" s="226" t="str">
        <f t="shared" si="70"/>
        <v/>
      </c>
      <c r="C467" s="227">
        <f t="shared" si="77"/>
        <v>44266</v>
      </c>
      <c r="D467" s="228">
        <f t="shared" si="78"/>
        <v>4</v>
      </c>
      <c r="E467" s="229">
        <f t="shared" si="71"/>
        <v>44266</v>
      </c>
      <c r="F467" s="228">
        <f t="shared" si="72"/>
        <v>0</v>
      </c>
      <c r="G467" s="230" t="str">
        <f t="shared" si="73"/>
        <v/>
      </c>
      <c r="H467" s="231" t="str">
        <f t="shared" si="74"/>
        <v/>
      </c>
      <c r="I467" s="228">
        <f t="shared" si="75"/>
        <v>0</v>
      </c>
      <c r="J467" s="228">
        <f t="shared" si="76"/>
        <v>317</v>
      </c>
      <c r="Q467" s="504">
        <f t="shared" ca="1" si="79"/>
        <v>44311</v>
      </c>
    </row>
    <row r="468" spans="2:17">
      <c r="B468" s="226" t="str">
        <f t="shared" si="70"/>
        <v/>
      </c>
      <c r="C468" s="227">
        <f t="shared" si="77"/>
        <v>44267</v>
      </c>
      <c r="D468" s="228">
        <f t="shared" si="78"/>
        <v>5</v>
      </c>
      <c r="E468" s="229">
        <f t="shared" si="71"/>
        <v>44267</v>
      </c>
      <c r="F468" s="228">
        <f t="shared" si="72"/>
        <v>0</v>
      </c>
      <c r="G468" s="230" t="str">
        <f t="shared" si="73"/>
        <v/>
      </c>
      <c r="H468" s="231" t="str">
        <f t="shared" si="74"/>
        <v/>
      </c>
      <c r="I468" s="228">
        <f t="shared" si="75"/>
        <v>0</v>
      </c>
      <c r="J468" s="228">
        <f t="shared" si="76"/>
        <v>318</v>
      </c>
      <c r="Q468" s="504">
        <f t="shared" ca="1" si="79"/>
        <v>44312</v>
      </c>
    </row>
    <row r="469" spans="2:17">
      <c r="B469" s="226" t="str">
        <f t="shared" si="70"/>
        <v/>
      </c>
      <c r="C469" s="227">
        <f t="shared" si="77"/>
        <v>44268</v>
      </c>
      <c r="D469" s="228">
        <f t="shared" si="78"/>
        <v>6</v>
      </c>
      <c r="E469" s="229">
        <f t="shared" si="71"/>
        <v>44268</v>
      </c>
      <c r="F469" s="228">
        <f t="shared" si="72"/>
        <v>0</v>
      </c>
      <c r="G469" s="230" t="str">
        <f t="shared" si="73"/>
        <v/>
      </c>
      <c r="H469" s="231" t="str">
        <f t="shared" si="74"/>
        <v/>
      </c>
      <c r="I469" s="228">
        <f t="shared" si="75"/>
        <v>1</v>
      </c>
      <c r="J469" s="228">
        <f t="shared" si="76"/>
        <v>318</v>
      </c>
      <c r="Q469" s="504">
        <f t="shared" ca="1" si="79"/>
        <v>44313</v>
      </c>
    </row>
    <row r="470" spans="2:17">
      <c r="B470" s="226" t="str">
        <f t="shared" si="70"/>
        <v/>
      </c>
      <c r="C470" s="227">
        <f t="shared" si="77"/>
        <v>44269</v>
      </c>
      <c r="D470" s="228">
        <f t="shared" si="78"/>
        <v>7</v>
      </c>
      <c r="E470" s="229">
        <f t="shared" si="71"/>
        <v>44269</v>
      </c>
      <c r="F470" s="228">
        <f t="shared" si="72"/>
        <v>0</v>
      </c>
      <c r="G470" s="230" t="str">
        <f t="shared" si="73"/>
        <v/>
      </c>
      <c r="H470" s="231" t="str">
        <f t="shared" si="74"/>
        <v/>
      </c>
      <c r="I470" s="228">
        <f t="shared" si="75"/>
        <v>1</v>
      </c>
      <c r="J470" s="228">
        <f t="shared" si="76"/>
        <v>318</v>
      </c>
      <c r="Q470" s="504">
        <f t="shared" ca="1" si="79"/>
        <v>44314</v>
      </c>
    </row>
    <row r="471" spans="2:17">
      <c r="B471" s="226" t="str">
        <f t="shared" si="70"/>
        <v/>
      </c>
      <c r="C471" s="227">
        <f t="shared" si="77"/>
        <v>44270</v>
      </c>
      <c r="D471" s="228">
        <f t="shared" si="78"/>
        <v>1</v>
      </c>
      <c r="E471" s="229">
        <f t="shared" si="71"/>
        <v>44270</v>
      </c>
      <c r="F471" s="228">
        <f t="shared" si="72"/>
        <v>0</v>
      </c>
      <c r="G471" s="230" t="str">
        <f t="shared" si="73"/>
        <v/>
      </c>
      <c r="H471" s="231" t="str">
        <f t="shared" si="74"/>
        <v/>
      </c>
      <c r="I471" s="228">
        <f t="shared" si="75"/>
        <v>0</v>
      </c>
      <c r="J471" s="228">
        <f t="shared" si="76"/>
        <v>319</v>
      </c>
      <c r="Q471" s="504">
        <f t="shared" ca="1" si="79"/>
        <v>44315</v>
      </c>
    </row>
    <row r="472" spans="2:17">
      <c r="B472" s="226" t="str">
        <f t="shared" si="70"/>
        <v/>
      </c>
      <c r="C472" s="227">
        <f t="shared" si="77"/>
        <v>44271</v>
      </c>
      <c r="D472" s="228">
        <f t="shared" si="78"/>
        <v>2</v>
      </c>
      <c r="E472" s="229">
        <f t="shared" si="71"/>
        <v>44271</v>
      </c>
      <c r="F472" s="228">
        <f t="shared" si="72"/>
        <v>0</v>
      </c>
      <c r="G472" s="230" t="str">
        <f t="shared" si="73"/>
        <v/>
      </c>
      <c r="H472" s="231" t="str">
        <f t="shared" si="74"/>
        <v/>
      </c>
      <c r="I472" s="228">
        <f t="shared" si="75"/>
        <v>0</v>
      </c>
      <c r="J472" s="228">
        <f t="shared" si="76"/>
        <v>320</v>
      </c>
      <c r="Q472" s="504">
        <f t="shared" ca="1" si="79"/>
        <v>44316</v>
      </c>
    </row>
    <row r="473" spans="2:17">
      <c r="B473" s="226" t="str">
        <f t="shared" si="70"/>
        <v/>
      </c>
      <c r="C473" s="227">
        <f t="shared" si="77"/>
        <v>44272</v>
      </c>
      <c r="D473" s="228">
        <f t="shared" si="78"/>
        <v>3</v>
      </c>
      <c r="E473" s="229">
        <f t="shared" si="71"/>
        <v>44272</v>
      </c>
      <c r="F473" s="228">
        <f t="shared" si="72"/>
        <v>0</v>
      </c>
      <c r="G473" s="230" t="str">
        <f t="shared" si="73"/>
        <v/>
      </c>
      <c r="H473" s="231" t="str">
        <f t="shared" si="74"/>
        <v/>
      </c>
      <c r="I473" s="228">
        <f t="shared" si="75"/>
        <v>0</v>
      </c>
      <c r="J473" s="228">
        <f t="shared" si="76"/>
        <v>321</v>
      </c>
      <c r="Q473" s="504">
        <f t="shared" ca="1" si="79"/>
        <v>44317</v>
      </c>
    </row>
    <row r="474" spans="2:17">
      <c r="B474" s="226" t="str">
        <f t="shared" si="70"/>
        <v/>
      </c>
      <c r="C474" s="227">
        <f t="shared" si="77"/>
        <v>44273</v>
      </c>
      <c r="D474" s="228">
        <f t="shared" si="78"/>
        <v>4</v>
      </c>
      <c r="E474" s="229">
        <f t="shared" si="71"/>
        <v>44273</v>
      </c>
      <c r="F474" s="228">
        <f t="shared" si="72"/>
        <v>0</v>
      </c>
      <c r="G474" s="230" t="str">
        <f t="shared" si="73"/>
        <v/>
      </c>
      <c r="H474" s="231" t="str">
        <f t="shared" si="74"/>
        <v/>
      </c>
      <c r="I474" s="228">
        <f t="shared" si="75"/>
        <v>0</v>
      </c>
      <c r="J474" s="228">
        <f t="shared" si="76"/>
        <v>322</v>
      </c>
      <c r="Q474" s="504">
        <f t="shared" ca="1" si="79"/>
        <v>44318</v>
      </c>
    </row>
    <row r="475" spans="2:17">
      <c r="B475" s="226" t="str">
        <f t="shared" si="70"/>
        <v/>
      </c>
      <c r="C475" s="227">
        <f t="shared" si="77"/>
        <v>44274</v>
      </c>
      <c r="D475" s="228">
        <f t="shared" si="78"/>
        <v>5</v>
      </c>
      <c r="E475" s="229">
        <f t="shared" si="71"/>
        <v>44274</v>
      </c>
      <c r="F475" s="228">
        <f t="shared" si="72"/>
        <v>0</v>
      </c>
      <c r="G475" s="230" t="str">
        <f t="shared" si="73"/>
        <v/>
      </c>
      <c r="H475" s="231" t="str">
        <f t="shared" si="74"/>
        <v/>
      </c>
      <c r="I475" s="228">
        <f t="shared" si="75"/>
        <v>0</v>
      </c>
      <c r="J475" s="228">
        <f t="shared" si="76"/>
        <v>323</v>
      </c>
      <c r="Q475" s="504">
        <f t="shared" ca="1" si="79"/>
        <v>44319</v>
      </c>
    </row>
    <row r="476" spans="2:17">
      <c r="B476" s="226" t="str">
        <f t="shared" si="70"/>
        <v/>
      </c>
      <c r="C476" s="227">
        <f t="shared" si="77"/>
        <v>44275</v>
      </c>
      <c r="D476" s="228">
        <f t="shared" si="78"/>
        <v>6</v>
      </c>
      <c r="E476" s="229">
        <f t="shared" si="71"/>
        <v>44275</v>
      </c>
      <c r="F476" s="228">
        <f t="shared" si="72"/>
        <v>0</v>
      </c>
      <c r="G476" s="230" t="str">
        <f t="shared" si="73"/>
        <v/>
      </c>
      <c r="H476" s="231" t="str">
        <f t="shared" si="74"/>
        <v/>
      </c>
      <c r="I476" s="228">
        <f t="shared" si="75"/>
        <v>1</v>
      </c>
      <c r="J476" s="228">
        <f t="shared" si="76"/>
        <v>323</v>
      </c>
      <c r="Q476" s="504">
        <f t="shared" ca="1" si="79"/>
        <v>44320</v>
      </c>
    </row>
    <row r="477" spans="2:17">
      <c r="B477" s="226" t="str">
        <f t="shared" si="70"/>
        <v/>
      </c>
      <c r="C477" s="227">
        <f t="shared" si="77"/>
        <v>44276</v>
      </c>
      <c r="D477" s="228">
        <f t="shared" si="78"/>
        <v>7</v>
      </c>
      <c r="E477" s="229">
        <f t="shared" si="71"/>
        <v>44276</v>
      </c>
      <c r="F477" s="228">
        <f t="shared" si="72"/>
        <v>0</v>
      </c>
      <c r="G477" s="230" t="str">
        <f t="shared" si="73"/>
        <v/>
      </c>
      <c r="H477" s="231" t="str">
        <f t="shared" si="74"/>
        <v/>
      </c>
      <c r="I477" s="228">
        <f t="shared" si="75"/>
        <v>1</v>
      </c>
      <c r="J477" s="228">
        <f t="shared" si="76"/>
        <v>323</v>
      </c>
      <c r="Q477" s="504">
        <f t="shared" ca="1" si="79"/>
        <v>44321</v>
      </c>
    </row>
    <row r="478" spans="2:17">
      <c r="B478" s="226" t="str">
        <f t="shared" si="70"/>
        <v/>
      </c>
      <c r="C478" s="227">
        <f t="shared" si="77"/>
        <v>44277</v>
      </c>
      <c r="D478" s="228">
        <f t="shared" si="78"/>
        <v>1</v>
      </c>
      <c r="E478" s="229">
        <f t="shared" si="71"/>
        <v>44277</v>
      </c>
      <c r="F478" s="228">
        <f t="shared" si="72"/>
        <v>0</v>
      </c>
      <c r="G478" s="230" t="str">
        <f t="shared" si="73"/>
        <v/>
      </c>
      <c r="H478" s="231" t="str">
        <f t="shared" si="74"/>
        <v/>
      </c>
      <c r="I478" s="228">
        <f t="shared" si="75"/>
        <v>0</v>
      </c>
      <c r="J478" s="228">
        <f t="shared" si="76"/>
        <v>324</v>
      </c>
      <c r="Q478" s="504">
        <f t="shared" ca="1" si="79"/>
        <v>44322</v>
      </c>
    </row>
    <row r="479" spans="2:17">
      <c r="B479" s="226" t="str">
        <f t="shared" si="70"/>
        <v/>
      </c>
      <c r="C479" s="227">
        <f t="shared" si="77"/>
        <v>44278</v>
      </c>
      <c r="D479" s="228">
        <f t="shared" si="78"/>
        <v>2</v>
      </c>
      <c r="E479" s="229">
        <f t="shared" si="71"/>
        <v>44278</v>
      </c>
      <c r="F479" s="228">
        <f t="shared" si="72"/>
        <v>0</v>
      </c>
      <c r="G479" s="230" t="str">
        <f t="shared" si="73"/>
        <v/>
      </c>
      <c r="H479" s="231" t="str">
        <f t="shared" si="74"/>
        <v/>
      </c>
      <c r="I479" s="228">
        <f t="shared" si="75"/>
        <v>0</v>
      </c>
      <c r="J479" s="228">
        <f t="shared" si="76"/>
        <v>325</v>
      </c>
      <c r="Q479" s="504">
        <f t="shared" ca="1" si="79"/>
        <v>44323</v>
      </c>
    </row>
    <row r="480" spans="2:17">
      <c r="B480" s="226" t="str">
        <f t="shared" si="70"/>
        <v/>
      </c>
      <c r="C480" s="227">
        <f t="shared" si="77"/>
        <v>44279</v>
      </c>
      <c r="D480" s="228">
        <f t="shared" si="78"/>
        <v>3</v>
      </c>
      <c r="E480" s="229">
        <f t="shared" si="71"/>
        <v>44279</v>
      </c>
      <c r="F480" s="228">
        <f t="shared" si="72"/>
        <v>0</v>
      </c>
      <c r="G480" s="230" t="str">
        <f t="shared" si="73"/>
        <v/>
      </c>
      <c r="H480" s="231" t="str">
        <f t="shared" si="74"/>
        <v/>
      </c>
      <c r="I480" s="228">
        <f t="shared" si="75"/>
        <v>0</v>
      </c>
      <c r="J480" s="228">
        <f t="shared" si="76"/>
        <v>326</v>
      </c>
      <c r="Q480" s="504">
        <f t="shared" ca="1" si="79"/>
        <v>44324</v>
      </c>
    </row>
    <row r="481" spans="2:17">
      <c r="B481" s="226" t="str">
        <f t="shared" si="70"/>
        <v/>
      </c>
      <c r="C481" s="227">
        <f t="shared" si="77"/>
        <v>44280</v>
      </c>
      <c r="D481" s="228">
        <f t="shared" si="78"/>
        <v>4</v>
      </c>
      <c r="E481" s="229">
        <f t="shared" si="71"/>
        <v>44280</v>
      </c>
      <c r="F481" s="228">
        <f t="shared" si="72"/>
        <v>0</v>
      </c>
      <c r="G481" s="230" t="str">
        <f t="shared" si="73"/>
        <v/>
      </c>
      <c r="H481" s="231" t="str">
        <f t="shared" si="74"/>
        <v/>
      </c>
      <c r="I481" s="228">
        <f t="shared" si="75"/>
        <v>0</v>
      </c>
      <c r="J481" s="228">
        <f t="shared" si="76"/>
        <v>327</v>
      </c>
      <c r="Q481" s="504">
        <f t="shared" ca="1" si="79"/>
        <v>44325</v>
      </c>
    </row>
    <row r="482" spans="2:17">
      <c r="B482" s="226" t="str">
        <f t="shared" si="70"/>
        <v/>
      </c>
      <c r="C482" s="227">
        <f t="shared" si="77"/>
        <v>44281</v>
      </c>
      <c r="D482" s="228">
        <f t="shared" si="78"/>
        <v>5</v>
      </c>
      <c r="E482" s="229">
        <f t="shared" si="71"/>
        <v>44281</v>
      </c>
      <c r="F482" s="228">
        <f t="shared" si="72"/>
        <v>0</v>
      </c>
      <c r="G482" s="230" t="str">
        <f t="shared" si="73"/>
        <v/>
      </c>
      <c r="H482" s="231" t="str">
        <f t="shared" si="74"/>
        <v/>
      </c>
      <c r="I482" s="228">
        <f t="shared" si="75"/>
        <v>0</v>
      </c>
      <c r="J482" s="228">
        <f t="shared" si="76"/>
        <v>328</v>
      </c>
      <c r="Q482" s="504">
        <f t="shared" ca="1" si="79"/>
        <v>44326</v>
      </c>
    </row>
    <row r="483" spans="2:17">
      <c r="B483" s="226" t="str">
        <f t="shared" si="70"/>
        <v/>
      </c>
      <c r="C483" s="227">
        <f t="shared" si="77"/>
        <v>44282</v>
      </c>
      <c r="D483" s="228">
        <f t="shared" si="78"/>
        <v>6</v>
      </c>
      <c r="E483" s="229">
        <f t="shared" si="71"/>
        <v>44282</v>
      </c>
      <c r="F483" s="228">
        <f t="shared" si="72"/>
        <v>0</v>
      </c>
      <c r="G483" s="230" t="str">
        <f t="shared" si="73"/>
        <v/>
      </c>
      <c r="H483" s="231" t="str">
        <f t="shared" si="74"/>
        <v/>
      </c>
      <c r="I483" s="228">
        <f t="shared" si="75"/>
        <v>1</v>
      </c>
      <c r="J483" s="228">
        <f t="shared" si="76"/>
        <v>328</v>
      </c>
      <c r="Q483" s="504">
        <f t="shared" ca="1" si="79"/>
        <v>44327</v>
      </c>
    </row>
    <row r="484" spans="2:17">
      <c r="B484" s="226" t="str">
        <f t="shared" si="70"/>
        <v/>
      </c>
      <c r="C484" s="227">
        <f t="shared" si="77"/>
        <v>44283</v>
      </c>
      <c r="D484" s="228">
        <f t="shared" si="78"/>
        <v>7</v>
      </c>
      <c r="E484" s="229">
        <f t="shared" si="71"/>
        <v>44283</v>
      </c>
      <c r="F484" s="228">
        <f t="shared" si="72"/>
        <v>47</v>
      </c>
      <c r="G484" s="230">
        <f t="shared" si="73"/>
        <v>44283</v>
      </c>
      <c r="H484" s="231" t="str">
        <f t="shared" si="74"/>
        <v>Palmesøndag</v>
      </c>
      <c r="I484" s="228">
        <f t="shared" si="75"/>
        <v>1</v>
      </c>
      <c r="J484" s="228">
        <f t="shared" si="76"/>
        <v>328</v>
      </c>
      <c r="Q484" s="504">
        <f t="shared" ca="1" si="79"/>
        <v>44328</v>
      </c>
    </row>
    <row r="485" spans="2:17">
      <c r="B485" s="226" t="str">
        <f t="shared" si="70"/>
        <v/>
      </c>
      <c r="C485" s="227">
        <f t="shared" si="77"/>
        <v>44284</v>
      </c>
      <c r="D485" s="228">
        <f t="shared" si="78"/>
        <v>1</v>
      </c>
      <c r="E485" s="229">
        <f t="shared" si="71"/>
        <v>44284</v>
      </c>
      <c r="F485" s="228">
        <f t="shared" si="72"/>
        <v>0</v>
      </c>
      <c r="G485" s="230" t="str">
        <f t="shared" si="73"/>
        <v/>
      </c>
      <c r="H485" s="231" t="str">
        <f t="shared" si="74"/>
        <v/>
      </c>
      <c r="I485" s="228">
        <f t="shared" si="75"/>
        <v>0</v>
      </c>
      <c r="J485" s="228">
        <f t="shared" si="76"/>
        <v>329</v>
      </c>
      <c r="Q485" s="504">
        <f t="shared" ca="1" si="79"/>
        <v>44329</v>
      </c>
    </row>
    <row r="486" spans="2:17">
      <c r="B486" s="226" t="str">
        <f t="shared" si="70"/>
        <v/>
      </c>
      <c r="C486" s="227">
        <f t="shared" si="77"/>
        <v>44285</v>
      </c>
      <c r="D486" s="228">
        <f t="shared" si="78"/>
        <v>2</v>
      </c>
      <c r="E486" s="229">
        <f t="shared" si="71"/>
        <v>44285</v>
      </c>
      <c r="F486" s="228">
        <f t="shared" si="72"/>
        <v>0</v>
      </c>
      <c r="G486" s="230" t="str">
        <f t="shared" si="73"/>
        <v/>
      </c>
      <c r="H486" s="231" t="str">
        <f t="shared" si="74"/>
        <v/>
      </c>
      <c r="I486" s="228">
        <f t="shared" si="75"/>
        <v>0</v>
      </c>
      <c r="J486" s="228">
        <f t="shared" si="76"/>
        <v>330</v>
      </c>
      <c r="Q486" s="504">
        <f t="shared" ca="1" si="79"/>
        <v>44330</v>
      </c>
    </row>
    <row r="487" spans="2:17">
      <c r="B487" s="226" t="str">
        <f t="shared" si="70"/>
        <v/>
      </c>
      <c r="C487" s="227">
        <f t="shared" si="77"/>
        <v>44286</v>
      </c>
      <c r="D487" s="228">
        <f t="shared" si="78"/>
        <v>3</v>
      </c>
      <c r="E487" s="229">
        <f t="shared" si="71"/>
        <v>44286</v>
      </c>
      <c r="F487" s="228">
        <f t="shared" si="72"/>
        <v>0</v>
      </c>
      <c r="G487" s="230" t="str">
        <f t="shared" si="73"/>
        <v/>
      </c>
      <c r="H487" s="231" t="str">
        <f t="shared" si="74"/>
        <v/>
      </c>
      <c r="I487" s="228">
        <f t="shared" si="75"/>
        <v>0</v>
      </c>
      <c r="J487" s="228">
        <f t="shared" si="76"/>
        <v>331</v>
      </c>
      <c r="Q487" s="504">
        <f t="shared" ca="1" si="79"/>
        <v>44331</v>
      </c>
    </row>
    <row r="488" spans="2:17">
      <c r="B488" s="226" t="str">
        <f t="shared" si="70"/>
        <v/>
      </c>
      <c r="C488" s="227">
        <f t="shared" si="77"/>
        <v>44287</v>
      </c>
      <c r="D488" s="228">
        <f t="shared" si="78"/>
        <v>4</v>
      </c>
      <c r="E488" s="229">
        <f t="shared" si="71"/>
        <v>44287</v>
      </c>
      <c r="F488" s="228">
        <f t="shared" si="72"/>
        <v>48</v>
      </c>
      <c r="G488" s="230">
        <f t="shared" si="73"/>
        <v>44287</v>
      </c>
      <c r="H488" s="231" t="str">
        <f t="shared" si="74"/>
        <v>Skjærtorsdag</v>
      </c>
      <c r="I488" s="228">
        <f t="shared" si="75"/>
        <v>1</v>
      </c>
      <c r="J488" s="228">
        <f t="shared" si="76"/>
        <v>331</v>
      </c>
      <c r="Q488" s="504">
        <f t="shared" ca="1" si="79"/>
        <v>44332</v>
      </c>
    </row>
    <row r="489" spans="2:17">
      <c r="B489" s="226" t="str">
        <f t="shared" si="70"/>
        <v/>
      </c>
      <c r="C489" s="227">
        <f t="shared" si="77"/>
        <v>44288</v>
      </c>
      <c r="D489" s="228">
        <f t="shared" si="78"/>
        <v>5</v>
      </c>
      <c r="E489" s="229">
        <f t="shared" si="71"/>
        <v>44288</v>
      </c>
      <c r="F489" s="228">
        <f t="shared" si="72"/>
        <v>49</v>
      </c>
      <c r="G489" s="230">
        <f t="shared" si="73"/>
        <v>44288</v>
      </c>
      <c r="H489" s="231" t="str">
        <f t="shared" si="74"/>
        <v>Langfredag</v>
      </c>
      <c r="I489" s="228">
        <f t="shared" si="75"/>
        <v>1</v>
      </c>
      <c r="J489" s="228">
        <f t="shared" si="76"/>
        <v>331</v>
      </c>
      <c r="Q489" s="504">
        <f t="shared" ca="1" si="79"/>
        <v>44333</v>
      </c>
    </row>
    <row r="490" spans="2:17">
      <c r="B490" s="226" t="str">
        <f t="shared" si="70"/>
        <v/>
      </c>
      <c r="C490" s="227">
        <f t="shared" si="77"/>
        <v>44289</v>
      </c>
      <c r="D490" s="228">
        <f t="shared" si="78"/>
        <v>6</v>
      </c>
      <c r="E490" s="229">
        <f t="shared" si="71"/>
        <v>44289</v>
      </c>
      <c r="F490" s="228">
        <f t="shared" si="72"/>
        <v>50</v>
      </c>
      <c r="G490" s="230">
        <f t="shared" si="73"/>
        <v>44289</v>
      </c>
      <c r="H490" s="231" t="str">
        <f t="shared" si="74"/>
        <v>Påskeaften</v>
      </c>
      <c r="I490" s="228">
        <f t="shared" si="75"/>
        <v>1</v>
      </c>
      <c r="J490" s="228">
        <f t="shared" si="76"/>
        <v>331</v>
      </c>
      <c r="Q490" s="504">
        <f t="shared" ca="1" si="79"/>
        <v>44334</v>
      </c>
    </row>
    <row r="491" spans="2:17">
      <c r="B491" s="226" t="str">
        <f t="shared" si="70"/>
        <v/>
      </c>
      <c r="C491" s="227">
        <f t="shared" si="77"/>
        <v>44290</v>
      </c>
      <c r="D491" s="228">
        <f t="shared" si="78"/>
        <v>7</v>
      </c>
      <c r="E491" s="229">
        <f t="shared" si="71"/>
        <v>44290</v>
      </c>
      <c r="F491" s="228">
        <f t="shared" si="72"/>
        <v>51</v>
      </c>
      <c r="G491" s="230">
        <f t="shared" si="73"/>
        <v>44290</v>
      </c>
      <c r="H491" s="231" t="str">
        <f t="shared" si="74"/>
        <v>1. Påskedag</v>
      </c>
      <c r="I491" s="228">
        <f t="shared" si="75"/>
        <v>1</v>
      </c>
      <c r="J491" s="228">
        <f t="shared" si="76"/>
        <v>331</v>
      </c>
      <c r="Q491" s="504">
        <f t="shared" ca="1" si="79"/>
        <v>44335</v>
      </c>
    </row>
    <row r="492" spans="2:17">
      <c r="B492" s="226" t="str">
        <f t="shared" si="70"/>
        <v/>
      </c>
      <c r="C492" s="227">
        <f t="shared" si="77"/>
        <v>44291</v>
      </c>
      <c r="D492" s="228">
        <f t="shared" si="78"/>
        <v>1</v>
      </c>
      <c r="E492" s="229">
        <f t="shared" si="71"/>
        <v>44291</v>
      </c>
      <c r="F492" s="228">
        <f t="shared" si="72"/>
        <v>52</v>
      </c>
      <c r="G492" s="230">
        <f t="shared" si="73"/>
        <v>44291</v>
      </c>
      <c r="H492" s="231" t="str">
        <f t="shared" si="74"/>
        <v>2. Påskedag</v>
      </c>
      <c r="I492" s="228">
        <f t="shared" si="75"/>
        <v>1</v>
      </c>
      <c r="J492" s="228">
        <f t="shared" si="76"/>
        <v>331</v>
      </c>
      <c r="Q492" s="504">
        <f t="shared" ca="1" si="79"/>
        <v>44336</v>
      </c>
    </row>
    <row r="493" spans="2:17">
      <c r="B493" s="226" t="str">
        <f t="shared" si="70"/>
        <v/>
      </c>
      <c r="C493" s="227">
        <f t="shared" si="77"/>
        <v>44292</v>
      </c>
      <c r="D493" s="228">
        <f t="shared" si="78"/>
        <v>2</v>
      </c>
      <c r="E493" s="229">
        <f t="shared" si="71"/>
        <v>44292</v>
      </c>
      <c r="F493" s="228">
        <f t="shared" si="72"/>
        <v>0</v>
      </c>
      <c r="G493" s="230" t="str">
        <f t="shared" si="73"/>
        <v/>
      </c>
      <c r="H493" s="231" t="str">
        <f t="shared" si="74"/>
        <v/>
      </c>
      <c r="I493" s="228">
        <f t="shared" si="75"/>
        <v>0</v>
      </c>
      <c r="J493" s="228">
        <f t="shared" si="76"/>
        <v>332</v>
      </c>
      <c r="Q493" s="504">
        <f t="shared" ca="1" si="79"/>
        <v>44337</v>
      </c>
    </row>
    <row r="494" spans="2:17">
      <c r="B494" s="226" t="str">
        <f t="shared" si="70"/>
        <v/>
      </c>
      <c r="C494" s="227">
        <f t="shared" si="77"/>
        <v>44293</v>
      </c>
      <c r="D494" s="228">
        <f t="shared" si="78"/>
        <v>3</v>
      </c>
      <c r="E494" s="229">
        <f t="shared" si="71"/>
        <v>44293</v>
      </c>
      <c r="F494" s="228">
        <f t="shared" si="72"/>
        <v>0</v>
      </c>
      <c r="G494" s="230" t="str">
        <f t="shared" si="73"/>
        <v/>
      </c>
      <c r="H494" s="231" t="str">
        <f t="shared" si="74"/>
        <v/>
      </c>
      <c r="I494" s="228">
        <f t="shared" si="75"/>
        <v>0</v>
      </c>
      <c r="J494" s="228">
        <f t="shared" si="76"/>
        <v>333</v>
      </c>
      <c r="Q494" s="504">
        <f t="shared" ca="1" si="79"/>
        <v>44338</v>
      </c>
    </row>
    <row r="495" spans="2:17">
      <c r="B495" s="226" t="str">
        <f t="shared" si="70"/>
        <v/>
      </c>
      <c r="C495" s="227">
        <f t="shared" si="77"/>
        <v>44294</v>
      </c>
      <c r="D495" s="228">
        <f t="shared" si="78"/>
        <v>4</v>
      </c>
      <c r="E495" s="229">
        <f t="shared" si="71"/>
        <v>44294</v>
      </c>
      <c r="F495" s="228">
        <f t="shared" si="72"/>
        <v>0</v>
      </c>
      <c r="G495" s="230" t="str">
        <f t="shared" si="73"/>
        <v/>
      </c>
      <c r="H495" s="231" t="str">
        <f t="shared" si="74"/>
        <v/>
      </c>
      <c r="I495" s="228">
        <f t="shared" si="75"/>
        <v>0</v>
      </c>
      <c r="J495" s="228">
        <f t="shared" si="76"/>
        <v>334</v>
      </c>
      <c r="Q495" s="504">
        <f t="shared" ca="1" si="79"/>
        <v>44339</v>
      </c>
    </row>
    <row r="496" spans="2:17">
      <c r="B496" s="226" t="str">
        <f t="shared" si="70"/>
        <v/>
      </c>
      <c r="C496" s="227">
        <f t="shared" si="77"/>
        <v>44295</v>
      </c>
      <c r="D496" s="228">
        <f t="shared" si="78"/>
        <v>5</v>
      </c>
      <c r="E496" s="229">
        <f t="shared" si="71"/>
        <v>44295</v>
      </c>
      <c r="F496" s="228">
        <f t="shared" si="72"/>
        <v>0</v>
      </c>
      <c r="G496" s="230" t="str">
        <f t="shared" si="73"/>
        <v/>
      </c>
      <c r="H496" s="231" t="str">
        <f t="shared" si="74"/>
        <v/>
      </c>
      <c r="I496" s="228">
        <f t="shared" si="75"/>
        <v>0</v>
      </c>
      <c r="J496" s="228">
        <f t="shared" si="76"/>
        <v>335</v>
      </c>
      <c r="Q496" s="504">
        <f t="shared" ca="1" si="79"/>
        <v>44340</v>
      </c>
    </row>
    <row r="497" spans="2:17">
      <c r="B497" s="226" t="str">
        <f t="shared" si="70"/>
        <v/>
      </c>
      <c r="C497" s="227">
        <f t="shared" si="77"/>
        <v>44296</v>
      </c>
      <c r="D497" s="228">
        <f t="shared" si="78"/>
        <v>6</v>
      </c>
      <c r="E497" s="229">
        <f t="shared" si="71"/>
        <v>44296</v>
      </c>
      <c r="F497" s="228">
        <f t="shared" si="72"/>
        <v>0</v>
      </c>
      <c r="G497" s="230" t="str">
        <f t="shared" si="73"/>
        <v/>
      </c>
      <c r="H497" s="231" t="str">
        <f t="shared" si="74"/>
        <v/>
      </c>
      <c r="I497" s="228">
        <f t="shared" si="75"/>
        <v>1</v>
      </c>
      <c r="J497" s="228">
        <f t="shared" si="76"/>
        <v>335</v>
      </c>
      <c r="Q497" s="504">
        <f t="shared" ca="1" si="79"/>
        <v>44341</v>
      </c>
    </row>
    <row r="498" spans="2:17">
      <c r="B498" s="226" t="str">
        <f t="shared" si="70"/>
        <v/>
      </c>
      <c r="C498" s="227">
        <f t="shared" si="77"/>
        <v>44297</v>
      </c>
      <c r="D498" s="228">
        <f t="shared" si="78"/>
        <v>7</v>
      </c>
      <c r="E498" s="229">
        <f t="shared" si="71"/>
        <v>44297</v>
      </c>
      <c r="F498" s="228">
        <f t="shared" si="72"/>
        <v>0</v>
      </c>
      <c r="G498" s="230" t="str">
        <f t="shared" si="73"/>
        <v/>
      </c>
      <c r="H498" s="231" t="str">
        <f t="shared" si="74"/>
        <v/>
      </c>
      <c r="I498" s="228">
        <f t="shared" si="75"/>
        <v>1</v>
      </c>
      <c r="J498" s="228">
        <f t="shared" si="76"/>
        <v>335</v>
      </c>
      <c r="Q498" s="504">
        <f t="shared" ca="1" si="79"/>
        <v>44342</v>
      </c>
    </row>
    <row r="499" spans="2:17">
      <c r="B499" s="226" t="str">
        <f t="shared" si="70"/>
        <v/>
      </c>
      <c r="C499" s="227">
        <f t="shared" si="77"/>
        <v>44298</v>
      </c>
      <c r="D499" s="228">
        <f t="shared" si="78"/>
        <v>1</v>
      </c>
      <c r="E499" s="229">
        <f t="shared" si="71"/>
        <v>44298</v>
      </c>
      <c r="F499" s="228">
        <f t="shared" si="72"/>
        <v>0</v>
      </c>
      <c r="G499" s="230" t="str">
        <f t="shared" si="73"/>
        <v/>
      </c>
      <c r="H499" s="231" t="str">
        <f t="shared" si="74"/>
        <v/>
      </c>
      <c r="I499" s="228">
        <f t="shared" si="75"/>
        <v>0</v>
      </c>
      <c r="J499" s="228">
        <f t="shared" si="76"/>
        <v>336</v>
      </c>
      <c r="Q499" s="504">
        <f t="shared" ca="1" si="79"/>
        <v>44343</v>
      </c>
    </row>
    <row r="500" spans="2:17">
      <c r="B500" s="226" t="str">
        <f t="shared" si="70"/>
        <v/>
      </c>
      <c r="C500" s="227">
        <f t="shared" si="77"/>
        <v>44299</v>
      </c>
      <c r="D500" s="228">
        <f t="shared" si="78"/>
        <v>2</v>
      </c>
      <c r="E500" s="229">
        <f t="shared" si="71"/>
        <v>44299</v>
      </c>
      <c r="F500" s="228">
        <f t="shared" si="72"/>
        <v>0</v>
      </c>
      <c r="G500" s="230" t="str">
        <f t="shared" si="73"/>
        <v/>
      </c>
      <c r="H500" s="231" t="str">
        <f t="shared" si="74"/>
        <v/>
      </c>
      <c r="I500" s="228">
        <f t="shared" si="75"/>
        <v>0</v>
      </c>
      <c r="J500" s="228">
        <f t="shared" si="76"/>
        <v>337</v>
      </c>
      <c r="Q500" s="504">
        <f t="shared" ca="1" si="79"/>
        <v>44344</v>
      </c>
    </row>
    <row r="501" spans="2:17">
      <c r="B501" s="226" t="str">
        <f t="shared" si="70"/>
        <v/>
      </c>
      <c r="C501" s="227">
        <f t="shared" si="77"/>
        <v>44300</v>
      </c>
      <c r="D501" s="228">
        <f t="shared" si="78"/>
        <v>3</v>
      </c>
      <c r="E501" s="229">
        <f t="shared" si="71"/>
        <v>44300</v>
      </c>
      <c r="F501" s="228">
        <f t="shared" si="72"/>
        <v>0</v>
      </c>
      <c r="G501" s="230" t="str">
        <f t="shared" si="73"/>
        <v/>
      </c>
      <c r="H501" s="231" t="str">
        <f t="shared" si="74"/>
        <v/>
      </c>
      <c r="I501" s="228">
        <f t="shared" si="75"/>
        <v>0</v>
      </c>
      <c r="J501" s="228">
        <f t="shared" si="76"/>
        <v>338</v>
      </c>
      <c r="Q501" s="504">
        <f t="shared" ca="1" si="79"/>
        <v>44345</v>
      </c>
    </row>
    <row r="502" spans="2:17">
      <c r="B502" s="226" t="str">
        <f t="shared" si="70"/>
        <v/>
      </c>
      <c r="C502" s="227">
        <f t="shared" si="77"/>
        <v>44301</v>
      </c>
      <c r="D502" s="228">
        <f t="shared" si="78"/>
        <v>4</v>
      </c>
      <c r="E502" s="229">
        <f t="shared" si="71"/>
        <v>44301</v>
      </c>
      <c r="F502" s="228">
        <f t="shared" si="72"/>
        <v>0</v>
      </c>
      <c r="G502" s="230" t="str">
        <f t="shared" si="73"/>
        <v/>
      </c>
      <c r="H502" s="231" t="str">
        <f t="shared" si="74"/>
        <v/>
      </c>
      <c r="I502" s="228">
        <f t="shared" si="75"/>
        <v>0</v>
      </c>
      <c r="J502" s="228">
        <f t="shared" si="76"/>
        <v>339</v>
      </c>
      <c r="Q502" s="504">
        <f t="shared" ca="1" si="79"/>
        <v>44346</v>
      </c>
    </row>
    <row r="503" spans="2:17">
      <c r="B503" s="226" t="str">
        <f t="shared" si="70"/>
        <v/>
      </c>
      <c r="C503" s="227">
        <f t="shared" si="77"/>
        <v>44302</v>
      </c>
      <c r="D503" s="228">
        <f t="shared" si="78"/>
        <v>5</v>
      </c>
      <c r="E503" s="229">
        <f t="shared" si="71"/>
        <v>44302</v>
      </c>
      <c r="F503" s="228">
        <f t="shared" si="72"/>
        <v>0</v>
      </c>
      <c r="G503" s="230" t="str">
        <f t="shared" si="73"/>
        <v/>
      </c>
      <c r="H503" s="231" t="str">
        <f t="shared" si="74"/>
        <v/>
      </c>
      <c r="I503" s="228">
        <f t="shared" si="75"/>
        <v>0</v>
      </c>
      <c r="J503" s="228">
        <f t="shared" si="76"/>
        <v>340</v>
      </c>
      <c r="Q503" s="504">
        <f t="shared" ca="1" si="79"/>
        <v>44347</v>
      </c>
    </row>
    <row r="504" spans="2:17">
      <c r="B504" s="226" t="str">
        <f t="shared" si="70"/>
        <v/>
      </c>
      <c r="C504" s="227">
        <f t="shared" si="77"/>
        <v>44303</v>
      </c>
      <c r="D504" s="228">
        <f t="shared" si="78"/>
        <v>6</v>
      </c>
      <c r="E504" s="229">
        <f t="shared" si="71"/>
        <v>44303</v>
      </c>
      <c r="F504" s="228">
        <f t="shared" si="72"/>
        <v>0</v>
      </c>
      <c r="G504" s="230" t="str">
        <f t="shared" si="73"/>
        <v/>
      </c>
      <c r="H504" s="231" t="str">
        <f t="shared" si="74"/>
        <v/>
      </c>
      <c r="I504" s="228">
        <f t="shared" si="75"/>
        <v>1</v>
      </c>
      <c r="J504" s="228">
        <f t="shared" si="76"/>
        <v>340</v>
      </c>
      <c r="Q504" s="504">
        <f t="shared" ca="1" si="79"/>
        <v>44348</v>
      </c>
    </row>
    <row r="505" spans="2:17">
      <c r="B505" s="226" t="str">
        <f t="shared" si="70"/>
        <v/>
      </c>
      <c r="C505" s="227">
        <f t="shared" si="77"/>
        <v>44304</v>
      </c>
      <c r="D505" s="228">
        <f t="shared" si="78"/>
        <v>7</v>
      </c>
      <c r="E505" s="229">
        <f t="shared" si="71"/>
        <v>44304</v>
      </c>
      <c r="F505" s="228">
        <f t="shared" si="72"/>
        <v>0</v>
      </c>
      <c r="G505" s="230" t="str">
        <f t="shared" si="73"/>
        <v/>
      </c>
      <c r="H505" s="231" t="str">
        <f t="shared" si="74"/>
        <v/>
      </c>
      <c r="I505" s="228">
        <f t="shared" si="75"/>
        <v>1</v>
      </c>
      <c r="J505" s="228">
        <f t="shared" si="76"/>
        <v>340</v>
      </c>
      <c r="Q505" s="504">
        <f t="shared" ca="1" si="79"/>
        <v>44349</v>
      </c>
    </row>
    <row r="506" spans="2:17">
      <c r="B506" s="226" t="str">
        <f t="shared" si="70"/>
        <v/>
      </c>
      <c r="C506" s="227">
        <f t="shared" si="77"/>
        <v>44305</v>
      </c>
      <c r="D506" s="228">
        <f t="shared" si="78"/>
        <v>1</v>
      </c>
      <c r="E506" s="229">
        <f t="shared" si="71"/>
        <v>44305</v>
      </c>
      <c r="F506" s="228">
        <f t="shared" si="72"/>
        <v>0</v>
      </c>
      <c r="G506" s="230" t="str">
        <f t="shared" si="73"/>
        <v/>
      </c>
      <c r="H506" s="231" t="str">
        <f t="shared" si="74"/>
        <v/>
      </c>
      <c r="I506" s="228">
        <f t="shared" si="75"/>
        <v>0</v>
      </c>
      <c r="J506" s="228">
        <f t="shared" si="76"/>
        <v>341</v>
      </c>
      <c r="Q506" s="504">
        <f t="shared" ca="1" si="79"/>
        <v>44350</v>
      </c>
    </row>
    <row r="507" spans="2:17">
      <c r="B507" s="226" t="str">
        <f t="shared" si="70"/>
        <v/>
      </c>
      <c r="C507" s="227">
        <f t="shared" si="77"/>
        <v>44306</v>
      </c>
      <c r="D507" s="228">
        <f t="shared" si="78"/>
        <v>2</v>
      </c>
      <c r="E507" s="229">
        <f t="shared" si="71"/>
        <v>44306</v>
      </c>
      <c r="F507" s="228">
        <f t="shared" si="72"/>
        <v>0</v>
      </c>
      <c r="G507" s="230" t="str">
        <f t="shared" si="73"/>
        <v/>
      </c>
      <c r="H507" s="231" t="str">
        <f t="shared" si="74"/>
        <v/>
      </c>
      <c r="I507" s="228">
        <f t="shared" si="75"/>
        <v>0</v>
      </c>
      <c r="J507" s="228">
        <f t="shared" si="76"/>
        <v>342</v>
      </c>
      <c r="Q507" s="504">
        <f t="shared" ca="1" si="79"/>
        <v>44351</v>
      </c>
    </row>
    <row r="508" spans="2:17">
      <c r="B508" s="226" t="str">
        <f t="shared" si="70"/>
        <v/>
      </c>
      <c r="C508" s="227">
        <f t="shared" si="77"/>
        <v>44307</v>
      </c>
      <c r="D508" s="228">
        <f t="shared" si="78"/>
        <v>3</v>
      </c>
      <c r="E508" s="229">
        <f t="shared" si="71"/>
        <v>44307</v>
      </c>
      <c r="F508" s="228">
        <f t="shared" si="72"/>
        <v>0</v>
      </c>
      <c r="G508" s="230" t="str">
        <f t="shared" si="73"/>
        <v/>
      </c>
      <c r="H508" s="231" t="str">
        <f t="shared" si="74"/>
        <v/>
      </c>
      <c r="I508" s="228">
        <f t="shared" si="75"/>
        <v>0</v>
      </c>
      <c r="J508" s="228">
        <f t="shared" si="76"/>
        <v>343</v>
      </c>
      <c r="Q508" s="504">
        <f t="shared" ca="1" si="79"/>
        <v>44352</v>
      </c>
    </row>
    <row r="509" spans="2:17">
      <c r="B509" s="226" t="str">
        <f t="shared" si="70"/>
        <v/>
      </c>
      <c r="C509" s="227">
        <f t="shared" si="77"/>
        <v>44308</v>
      </c>
      <c r="D509" s="228">
        <f t="shared" si="78"/>
        <v>4</v>
      </c>
      <c r="E509" s="229">
        <f t="shared" si="71"/>
        <v>44308</v>
      </c>
      <c r="F509" s="228">
        <f t="shared" si="72"/>
        <v>0</v>
      </c>
      <c r="G509" s="230" t="str">
        <f t="shared" si="73"/>
        <v/>
      </c>
      <c r="H509" s="231" t="str">
        <f t="shared" si="74"/>
        <v/>
      </c>
      <c r="I509" s="228">
        <f t="shared" si="75"/>
        <v>0</v>
      </c>
      <c r="J509" s="228">
        <f t="shared" si="76"/>
        <v>344</v>
      </c>
      <c r="Q509" s="504">
        <f t="shared" ca="1" si="79"/>
        <v>44353</v>
      </c>
    </row>
    <row r="510" spans="2:17">
      <c r="B510" s="226" t="str">
        <f t="shared" si="70"/>
        <v/>
      </c>
      <c r="C510" s="227">
        <f t="shared" si="77"/>
        <v>44309</v>
      </c>
      <c r="D510" s="228">
        <f t="shared" si="78"/>
        <v>5</v>
      </c>
      <c r="E510" s="229">
        <f t="shared" si="71"/>
        <v>44309</v>
      </c>
      <c r="F510" s="228">
        <f t="shared" si="72"/>
        <v>0</v>
      </c>
      <c r="G510" s="230" t="str">
        <f t="shared" si="73"/>
        <v/>
      </c>
      <c r="H510" s="231" t="str">
        <f t="shared" si="74"/>
        <v/>
      </c>
      <c r="I510" s="228">
        <f t="shared" si="75"/>
        <v>0</v>
      </c>
      <c r="J510" s="228">
        <f t="shared" si="76"/>
        <v>345</v>
      </c>
      <c r="Q510" s="504">
        <f t="shared" ca="1" si="79"/>
        <v>44354</v>
      </c>
    </row>
    <row r="511" spans="2:17">
      <c r="B511" s="226" t="str">
        <f t="shared" si="70"/>
        <v/>
      </c>
      <c r="C511" s="227">
        <f t="shared" si="77"/>
        <v>44310</v>
      </c>
      <c r="D511" s="228">
        <f t="shared" si="78"/>
        <v>6</v>
      </c>
      <c r="E511" s="229">
        <f t="shared" si="71"/>
        <v>44310</v>
      </c>
      <c r="F511" s="228">
        <f t="shared" si="72"/>
        <v>0</v>
      </c>
      <c r="G511" s="230" t="str">
        <f t="shared" si="73"/>
        <v/>
      </c>
      <c r="H511" s="231" t="str">
        <f t="shared" si="74"/>
        <v/>
      </c>
      <c r="I511" s="228">
        <f t="shared" si="75"/>
        <v>1</v>
      </c>
      <c r="J511" s="228">
        <f t="shared" si="76"/>
        <v>345</v>
      </c>
      <c r="Q511" s="504">
        <f t="shared" ca="1" si="79"/>
        <v>44355</v>
      </c>
    </row>
    <row r="512" spans="2:17">
      <c r="B512" s="226" t="str">
        <f t="shared" si="70"/>
        <v/>
      </c>
      <c r="C512" s="227">
        <f t="shared" si="77"/>
        <v>44311</v>
      </c>
      <c r="D512" s="228">
        <f t="shared" si="78"/>
        <v>7</v>
      </c>
      <c r="E512" s="229">
        <f t="shared" si="71"/>
        <v>44311</v>
      </c>
      <c r="F512" s="228">
        <f t="shared" si="72"/>
        <v>0</v>
      </c>
      <c r="G512" s="230" t="str">
        <f t="shared" si="73"/>
        <v/>
      </c>
      <c r="H512" s="231" t="str">
        <f t="shared" si="74"/>
        <v/>
      </c>
      <c r="I512" s="228">
        <f t="shared" si="75"/>
        <v>1</v>
      </c>
      <c r="J512" s="228">
        <f t="shared" si="76"/>
        <v>345</v>
      </c>
      <c r="Q512" s="504">
        <f t="shared" ca="1" si="79"/>
        <v>44356</v>
      </c>
    </row>
    <row r="513" spans="2:17">
      <c r="B513" s="226" t="str">
        <f t="shared" si="70"/>
        <v/>
      </c>
      <c r="C513" s="227">
        <f t="shared" si="77"/>
        <v>44312</v>
      </c>
      <c r="D513" s="228">
        <f t="shared" si="78"/>
        <v>1</v>
      </c>
      <c r="E513" s="229">
        <f t="shared" si="71"/>
        <v>44312</v>
      </c>
      <c r="F513" s="228">
        <f t="shared" si="72"/>
        <v>0</v>
      </c>
      <c r="G513" s="230" t="str">
        <f t="shared" si="73"/>
        <v/>
      </c>
      <c r="H513" s="231" t="str">
        <f t="shared" si="74"/>
        <v/>
      </c>
      <c r="I513" s="228">
        <f t="shared" si="75"/>
        <v>0</v>
      </c>
      <c r="J513" s="228">
        <f t="shared" si="76"/>
        <v>346</v>
      </c>
      <c r="Q513" s="504">
        <f t="shared" ca="1" si="79"/>
        <v>44357</v>
      </c>
    </row>
    <row r="514" spans="2:17">
      <c r="B514" s="226" t="str">
        <f t="shared" si="70"/>
        <v/>
      </c>
      <c r="C514" s="227">
        <f t="shared" si="77"/>
        <v>44313</v>
      </c>
      <c r="D514" s="228">
        <f t="shared" si="78"/>
        <v>2</v>
      </c>
      <c r="E514" s="229">
        <f t="shared" si="71"/>
        <v>44313</v>
      </c>
      <c r="F514" s="228">
        <f t="shared" si="72"/>
        <v>0</v>
      </c>
      <c r="G514" s="230" t="str">
        <f t="shared" si="73"/>
        <v/>
      </c>
      <c r="H514" s="231" t="str">
        <f t="shared" si="74"/>
        <v/>
      </c>
      <c r="I514" s="228">
        <f t="shared" si="75"/>
        <v>0</v>
      </c>
      <c r="J514" s="228">
        <f t="shared" si="76"/>
        <v>347</v>
      </c>
      <c r="Q514" s="504">
        <f t="shared" ca="1" si="79"/>
        <v>44358</v>
      </c>
    </row>
    <row r="515" spans="2:17">
      <c r="B515" s="226" t="str">
        <f t="shared" si="70"/>
        <v/>
      </c>
      <c r="C515" s="227">
        <f t="shared" si="77"/>
        <v>44314</v>
      </c>
      <c r="D515" s="228">
        <f t="shared" si="78"/>
        <v>3</v>
      </c>
      <c r="E515" s="229">
        <f t="shared" si="71"/>
        <v>44314</v>
      </c>
      <c r="F515" s="228">
        <f t="shared" si="72"/>
        <v>0</v>
      </c>
      <c r="G515" s="230" t="str">
        <f t="shared" si="73"/>
        <v/>
      </c>
      <c r="H515" s="231" t="str">
        <f t="shared" si="74"/>
        <v/>
      </c>
      <c r="I515" s="228">
        <f t="shared" si="75"/>
        <v>0</v>
      </c>
      <c r="J515" s="228">
        <f t="shared" si="76"/>
        <v>348</v>
      </c>
      <c r="Q515" s="504">
        <f t="shared" ca="1" si="79"/>
        <v>44359</v>
      </c>
    </row>
    <row r="516" spans="2:17">
      <c r="B516" s="226" t="str">
        <f t="shared" si="70"/>
        <v/>
      </c>
      <c r="C516" s="227">
        <f t="shared" si="77"/>
        <v>44315</v>
      </c>
      <c r="D516" s="228">
        <f t="shared" si="78"/>
        <v>4</v>
      </c>
      <c r="E516" s="229">
        <f t="shared" si="71"/>
        <v>44315</v>
      </c>
      <c r="F516" s="228">
        <f t="shared" si="72"/>
        <v>0</v>
      </c>
      <c r="G516" s="230" t="str">
        <f t="shared" si="73"/>
        <v/>
      </c>
      <c r="H516" s="231" t="str">
        <f t="shared" si="74"/>
        <v/>
      </c>
      <c r="I516" s="228">
        <f t="shared" si="75"/>
        <v>0</v>
      </c>
      <c r="J516" s="228">
        <f t="shared" si="76"/>
        <v>349</v>
      </c>
      <c r="Q516" s="504">
        <f t="shared" ca="1" si="79"/>
        <v>44360</v>
      </c>
    </row>
    <row r="517" spans="2:17">
      <c r="B517" s="226" t="str">
        <f t="shared" si="70"/>
        <v/>
      </c>
      <c r="C517" s="227">
        <f t="shared" si="77"/>
        <v>44316</v>
      </c>
      <c r="D517" s="228">
        <f t="shared" si="78"/>
        <v>5</v>
      </c>
      <c r="E517" s="229">
        <f t="shared" si="71"/>
        <v>44316</v>
      </c>
      <c r="F517" s="228">
        <f t="shared" si="72"/>
        <v>0</v>
      </c>
      <c r="G517" s="230" t="str">
        <f t="shared" si="73"/>
        <v/>
      </c>
      <c r="H517" s="231" t="str">
        <f t="shared" si="74"/>
        <v/>
      </c>
      <c r="I517" s="228">
        <f t="shared" si="75"/>
        <v>0</v>
      </c>
      <c r="J517" s="228">
        <f t="shared" si="76"/>
        <v>350</v>
      </c>
      <c r="Q517" s="504">
        <f t="shared" ca="1" si="79"/>
        <v>44361</v>
      </c>
    </row>
    <row r="518" spans="2:17">
      <c r="B518" s="226" t="str">
        <f t="shared" si="70"/>
        <v/>
      </c>
      <c r="C518" s="227">
        <f t="shared" si="77"/>
        <v>44317</v>
      </c>
      <c r="D518" s="228">
        <f t="shared" si="78"/>
        <v>6</v>
      </c>
      <c r="E518" s="229">
        <f t="shared" si="71"/>
        <v>44317</v>
      </c>
      <c r="F518" s="228">
        <f t="shared" si="72"/>
        <v>0</v>
      </c>
      <c r="G518" s="230" t="str">
        <f t="shared" si="73"/>
        <v/>
      </c>
      <c r="H518" s="231" t="str">
        <f t="shared" si="74"/>
        <v/>
      </c>
      <c r="I518" s="228">
        <f t="shared" si="75"/>
        <v>1</v>
      </c>
      <c r="J518" s="228">
        <f t="shared" si="76"/>
        <v>350</v>
      </c>
      <c r="Q518" s="504">
        <f t="shared" ca="1" si="79"/>
        <v>44362</v>
      </c>
    </row>
    <row r="519" spans="2:17">
      <c r="B519" s="226" t="str">
        <f t="shared" si="70"/>
        <v/>
      </c>
      <c r="C519" s="227">
        <f t="shared" si="77"/>
        <v>44318</v>
      </c>
      <c r="D519" s="228">
        <f t="shared" si="78"/>
        <v>7</v>
      </c>
      <c r="E519" s="229">
        <f t="shared" si="71"/>
        <v>44318</v>
      </c>
      <c r="F519" s="228">
        <f t="shared" si="72"/>
        <v>0</v>
      </c>
      <c r="G519" s="230" t="str">
        <f t="shared" si="73"/>
        <v/>
      </c>
      <c r="H519" s="231" t="str">
        <f t="shared" si="74"/>
        <v/>
      </c>
      <c r="I519" s="228">
        <f t="shared" si="75"/>
        <v>1</v>
      </c>
      <c r="J519" s="228">
        <f t="shared" si="76"/>
        <v>350</v>
      </c>
      <c r="Q519" s="504">
        <f t="shared" ca="1" si="79"/>
        <v>44363</v>
      </c>
    </row>
    <row r="520" spans="2:17">
      <c r="B520" s="226" t="str">
        <f t="shared" si="70"/>
        <v/>
      </c>
      <c r="C520" s="227">
        <f t="shared" si="77"/>
        <v>44319</v>
      </c>
      <c r="D520" s="228">
        <f t="shared" si="78"/>
        <v>1</v>
      </c>
      <c r="E520" s="229">
        <f t="shared" si="71"/>
        <v>44319</v>
      </c>
      <c r="F520" s="228">
        <f t="shared" si="72"/>
        <v>0</v>
      </c>
      <c r="G520" s="230" t="str">
        <f t="shared" si="73"/>
        <v/>
      </c>
      <c r="H520" s="231" t="str">
        <f t="shared" si="74"/>
        <v/>
      </c>
      <c r="I520" s="228">
        <f t="shared" si="75"/>
        <v>0</v>
      </c>
      <c r="J520" s="228">
        <f t="shared" si="76"/>
        <v>351</v>
      </c>
      <c r="Q520" s="504">
        <f t="shared" ca="1" si="79"/>
        <v>44364</v>
      </c>
    </row>
    <row r="521" spans="2:17">
      <c r="B521" s="226" t="str">
        <f t="shared" si="70"/>
        <v/>
      </c>
      <c r="C521" s="227">
        <f t="shared" si="77"/>
        <v>44320</v>
      </c>
      <c r="D521" s="228">
        <f t="shared" si="78"/>
        <v>2</v>
      </c>
      <c r="E521" s="229">
        <f t="shared" si="71"/>
        <v>44320</v>
      </c>
      <c r="F521" s="228">
        <f t="shared" si="72"/>
        <v>0</v>
      </c>
      <c r="G521" s="230" t="str">
        <f t="shared" si="73"/>
        <v/>
      </c>
      <c r="H521" s="231" t="str">
        <f t="shared" si="74"/>
        <v/>
      </c>
      <c r="I521" s="228">
        <f t="shared" si="75"/>
        <v>0</v>
      </c>
      <c r="J521" s="228">
        <f t="shared" si="76"/>
        <v>352</v>
      </c>
      <c r="Q521" s="504">
        <f t="shared" ca="1" si="79"/>
        <v>44365</v>
      </c>
    </row>
    <row r="522" spans="2:17">
      <c r="B522" s="226" t="str">
        <f t="shared" si="70"/>
        <v/>
      </c>
      <c r="C522" s="227">
        <f t="shared" si="77"/>
        <v>44321</v>
      </c>
      <c r="D522" s="228">
        <f t="shared" si="78"/>
        <v>3</v>
      </c>
      <c r="E522" s="229">
        <f t="shared" si="71"/>
        <v>44321</v>
      </c>
      <c r="F522" s="228">
        <f t="shared" si="72"/>
        <v>0</v>
      </c>
      <c r="G522" s="230" t="str">
        <f t="shared" si="73"/>
        <v/>
      </c>
      <c r="H522" s="231" t="str">
        <f t="shared" si="74"/>
        <v/>
      </c>
      <c r="I522" s="228">
        <f t="shared" si="75"/>
        <v>0</v>
      </c>
      <c r="J522" s="228">
        <f t="shared" si="76"/>
        <v>353</v>
      </c>
      <c r="Q522" s="504">
        <f t="shared" ca="1" si="79"/>
        <v>44366</v>
      </c>
    </row>
    <row r="523" spans="2:17">
      <c r="B523" s="226" t="str">
        <f t="shared" si="70"/>
        <v/>
      </c>
      <c r="C523" s="227">
        <f t="shared" si="77"/>
        <v>44322</v>
      </c>
      <c r="D523" s="228">
        <f t="shared" si="78"/>
        <v>4</v>
      </c>
      <c r="E523" s="229">
        <f t="shared" si="71"/>
        <v>44322</v>
      </c>
      <c r="F523" s="228">
        <f t="shared" si="72"/>
        <v>0</v>
      </c>
      <c r="G523" s="230" t="str">
        <f t="shared" si="73"/>
        <v/>
      </c>
      <c r="H523" s="231" t="str">
        <f t="shared" si="74"/>
        <v/>
      </c>
      <c r="I523" s="228">
        <f t="shared" si="75"/>
        <v>0</v>
      </c>
      <c r="J523" s="228">
        <f t="shared" si="76"/>
        <v>354</v>
      </c>
      <c r="Q523" s="504">
        <f t="shared" ca="1" si="79"/>
        <v>44367</v>
      </c>
    </row>
    <row r="524" spans="2:17">
      <c r="B524" s="226" t="str">
        <f t="shared" si="70"/>
        <v/>
      </c>
      <c r="C524" s="227">
        <f t="shared" si="77"/>
        <v>44323</v>
      </c>
      <c r="D524" s="228">
        <f t="shared" si="78"/>
        <v>5</v>
      </c>
      <c r="E524" s="229">
        <f t="shared" si="71"/>
        <v>44323</v>
      </c>
      <c r="F524" s="228">
        <f t="shared" si="72"/>
        <v>0</v>
      </c>
      <c r="G524" s="230" t="str">
        <f t="shared" si="73"/>
        <v/>
      </c>
      <c r="H524" s="231" t="str">
        <f t="shared" si="74"/>
        <v/>
      </c>
      <c r="I524" s="228">
        <f t="shared" si="75"/>
        <v>0</v>
      </c>
      <c r="J524" s="228">
        <f t="shared" si="76"/>
        <v>355</v>
      </c>
      <c r="Q524" s="504">
        <f t="shared" ca="1" si="79"/>
        <v>44368</v>
      </c>
    </row>
    <row r="525" spans="2:17">
      <c r="B525" s="226" t="str">
        <f t="shared" si="70"/>
        <v/>
      </c>
      <c r="C525" s="227">
        <f t="shared" si="77"/>
        <v>44324</v>
      </c>
      <c r="D525" s="228">
        <f t="shared" si="78"/>
        <v>6</v>
      </c>
      <c r="E525" s="229">
        <f t="shared" si="71"/>
        <v>44324</v>
      </c>
      <c r="F525" s="228">
        <f t="shared" si="72"/>
        <v>0</v>
      </c>
      <c r="G525" s="230" t="str">
        <f t="shared" si="73"/>
        <v/>
      </c>
      <c r="H525" s="231" t="str">
        <f t="shared" si="74"/>
        <v/>
      </c>
      <c r="I525" s="228">
        <f t="shared" si="75"/>
        <v>1</v>
      </c>
      <c r="J525" s="228">
        <f t="shared" si="76"/>
        <v>355</v>
      </c>
      <c r="Q525" s="504">
        <f t="shared" ca="1" si="79"/>
        <v>44369</v>
      </c>
    </row>
    <row r="526" spans="2:17">
      <c r="B526" s="226" t="str">
        <f t="shared" ref="B526:B589" si="80">IF(J526=$C$4,"Til","")</f>
        <v/>
      </c>
      <c r="C526" s="227">
        <f t="shared" si="77"/>
        <v>44325</v>
      </c>
      <c r="D526" s="228">
        <f t="shared" si="78"/>
        <v>7</v>
      </c>
      <c r="E526" s="229">
        <f t="shared" ref="E526:E589" si="81">C526</f>
        <v>44325</v>
      </c>
      <c r="F526" s="228">
        <f t="shared" ref="F526:F589" si="82">IF(C526="","",IFERROR(MATCH(C526,INDEX(caHellig,,2),0),0))</f>
        <v>0</v>
      </c>
      <c r="G526" s="230" t="str">
        <f t="shared" ref="G526:G589" si="83">IF(C526="","",IF(F526&gt;0,INDEX(caHellig,F526,2),""))</f>
        <v/>
      </c>
      <c r="H526" s="231" t="str">
        <f t="shared" ref="H526:H589" si="84">IF(C526="","",IF(F526&gt;0,INDEX(caHellig,F526,1),""))</f>
        <v/>
      </c>
      <c r="I526" s="228">
        <f t="shared" ref="I526:I589" si="85">IF(C526="","",IF(OR(D526&gt;5,F526,0),1,0))</f>
        <v>1</v>
      </c>
      <c r="J526" s="228">
        <f t="shared" ref="J526:J589" si="86">IF(C526="","",IF(I526=0,J525+1,J525))</f>
        <v>355</v>
      </c>
      <c r="Q526" s="504">
        <f t="shared" ca="1" si="79"/>
        <v>44370</v>
      </c>
    </row>
    <row r="527" spans="2:17">
      <c r="B527" s="226" t="str">
        <f t="shared" si="80"/>
        <v/>
      </c>
      <c r="C527" s="227">
        <f t="shared" ref="C527:C590" si="87">C526+1</f>
        <v>44326</v>
      </c>
      <c r="D527" s="228">
        <f t="shared" ref="D527:D590" si="88">IF(C527&lt;&gt;"",WEEKDAY(C527,2),"")</f>
        <v>1</v>
      </c>
      <c r="E527" s="229">
        <f t="shared" si="81"/>
        <v>44326</v>
      </c>
      <c r="F527" s="228">
        <f t="shared" si="82"/>
        <v>0</v>
      </c>
      <c r="G527" s="230" t="str">
        <f t="shared" si="83"/>
        <v/>
      </c>
      <c r="H527" s="231" t="str">
        <f t="shared" si="84"/>
        <v/>
      </c>
      <c r="I527" s="228">
        <f t="shared" si="85"/>
        <v>0</v>
      </c>
      <c r="J527" s="228">
        <f t="shared" si="86"/>
        <v>356</v>
      </c>
      <c r="Q527" s="504">
        <f t="shared" ref="Q527:Q590" ca="1" si="89">Q526+1</f>
        <v>44371</v>
      </c>
    </row>
    <row r="528" spans="2:17">
      <c r="B528" s="226" t="str">
        <f t="shared" si="80"/>
        <v/>
      </c>
      <c r="C528" s="227">
        <f t="shared" si="87"/>
        <v>44327</v>
      </c>
      <c r="D528" s="228">
        <f t="shared" si="88"/>
        <v>2</v>
      </c>
      <c r="E528" s="229">
        <f t="shared" si="81"/>
        <v>44327</v>
      </c>
      <c r="F528" s="228">
        <f t="shared" si="82"/>
        <v>0</v>
      </c>
      <c r="G528" s="230" t="str">
        <f t="shared" si="83"/>
        <v/>
      </c>
      <c r="H528" s="231" t="str">
        <f t="shared" si="84"/>
        <v/>
      </c>
      <c r="I528" s="228">
        <f t="shared" si="85"/>
        <v>0</v>
      </c>
      <c r="J528" s="228">
        <f t="shared" si="86"/>
        <v>357</v>
      </c>
      <c r="Q528" s="504">
        <f t="shared" ca="1" si="89"/>
        <v>44372</v>
      </c>
    </row>
    <row r="529" spans="2:17">
      <c r="B529" s="226" t="str">
        <f t="shared" si="80"/>
        <v/>
      </c>
      <c r="C529" s="227">
        <f t="shared" si="87"/>
        <v>44328</v>
      </c>
      <c r="D529" s="228">
        <f t="shared" si="88"/>
        <v>3</v>
      </c>
      <c r="E529" s="229">
        <f t="shared" si="81"/>
        <v>44328</v>
      </c>
      <c r="F529" s="228">
        <f t="shared" si="82"/>
        <v>0</v>
      </c>
      <c r="G529" s="230" t="str">
        <f t="shared" si="83"/>
        <v/>
      </c>
      <c r="H529" s="231" t="str">
        <f t="shared" si="84"/>
        <v/>
      </c>
      <c r="I529" s="228">
        <f t="shared" si="85"/>
        <v>0</v>
      </c>
      <c r="J529" s="228">
        <f t="shared" si="86"/>
        <v>358</v>
      </c>
      <c r="Q529" s="504">
        <f t="shared" ca="1" si="89"/>
        <v>44373</v>
      </c>
    </row>
    <row r="530" spans="2:17">
      <c r="B530" s="226" t="str">
        <f t="shared" si="80"/>
        <v/>
      </c>
      <c r="C530" s="227">
        <f t="shared" si="87"/>
        <v>44329</v>
      </c>
      <c r="D530" s="228">
        <f t="shared" si="88"/>
        <v>4</v>
      </c>
      <c r="E530" s="229">
        <f t="shared" si="81"/>
        <v>44329</v>
      </c>
      <c r="F530" s="228">
        <f t="shared" si="82"/>
        <v>53</v>
      </c>
      <c r="G530" s="230">
        <f t="shared" si="83"/>
        <v>44329</v>
      </c>
      <c r="H530" s="231" t="str">
        <f t="shared" si="84"/>
        <v>Kristi himmelfartsdag</v>
      </c>
      <c r="I530" s="228">
        <f t="shared" si="85"/>
        <v>1</v>
      </c>
      <c r="J530" s="228">
        <f t="shared" si="86"/>
        <v>358</v>
      </c>
      <c r="Q530" s="504">
        <f t="shared" ca="1" si="89"/>
        <v>44374</v>
      </c>
    </row>
    <row r="531" spans="2:17">
      <c r="B531" s="226" t="str">
        <f t="shared" si="80"/>
        <v/>
      </c>
      <c r="C531" s="227">
        <f t="shared" si="87"/>
        <v>44330</v>
      </c>
      <c r="D531" s="228">
        <f t="shared" si="88"/>
        <v>5</v>
      </c>
      <c r="E531" s="229">
        <f t="shared" si="81"/>
        <v>44330</v>
      </c>
      <c r="F531" s="228">
        <f t="shared" si="82"/>
        <v>0</v>
      </c>
      <c r="G531" s="230" t="str">
        <f t="shared" si="83"/>
        <v/>
      </c>
      <c r="H531" s="231" t="str">
        <f t="shared" si="84"/>
        <v/>
      </c>
      <c r="I531" s="228">
        <f t="shared" si="85"/>
        <v>0</v>
      </c>
      <c r="J531" s="228">
        <f t="shared" si="86"/>
        <v>359</v>
      </c>
      <c r="Q531" s="504">
        <f t="shared" ca="1" si="89"/>
        <v>44375</v>
      </c>
    </row>
    <row r="532" spans="2:17">
      <c r="B532" s="226" t="str">
        <f t="shared" si="80"/>
        <v/>
      </c>
      <c r="C532" s="227">
        <f t="shared" si="87"/>
        <v>44331</v>
      </c>
      <c r="D532" s="228">
        <f t="shared" si="88"/>
        <v>6</v>
      </c>
      <c r="E532" s="229">
        <f t="shared" si="81"/>
        <v>44331</v>
      </c>
      <c r="F532" s="228">
        <f t="shared" si="82"/>
        <v>0</v>
      </c>
      <c r="G532" s="230" t="str">
        <f t="shared" si="83"/>
        <v/>
      </c>
      <c r="H532" s="231" t="str">
        <f t="shared" si="84"/>
        <v/>
      </c>
      <c r="I532" s="228">
        <f t="shared" si="85"/>
        <v>1</v>
      </c>
      <c r="J532" s="228">
        <f t="shared" si="86"/>
        <v>359</v>
      </c>
      <c r="Q532" s="504">
        <f t="shared" ca="1" si="89"/>
        <v>44376</v>
      </c>
    </row>
    <row r="533" spans="2:17">
      <c r="B533" s="226" t="str">
        <f t="shared" si="80"/>
        <v/>
      </c>
      <c r="C533" s="227">
        <f t="shared" si="87"/>
        <v>44332</v>
      </c>
      <c r="D533" s="228">
        <f t="shared" si="88"/>
        <v>7</v>
      </c>
      <c r="E533" s="229">
        <f t="shared" si="81"/>
        <v>44332</v>
      </c>
      <c r="F533" s="228">
        <f t="shared" si="82"/>
        <v>0</v>
      </c>
      <c r="G533" s="230" t="str">
        <f t="shared" si="83"/>
        <v/>
      </c>
      <c r="H533" s="231" t="str">
        <f t="shared" si="84"/>
        <v/>
      </c>
      <c r="I533" s="228">
        <f t="shared" si="85"/>
        <v>1</v>
      </c>
      <c r="J533" s="228">
        <f t="shared" si="86"/>
        <v>359</v>
      </c>
      <c r="Q533" s="504">
        <f t="shared" ca="1" si="89"/>
        <v>44377</v>
      </c>
    </row>
    <row r="534" spans="2:17">
      <c r="B534" s="226" t="str">
        <f t="shared" si="80"/>
        <v/>
      </c>
      <c r="C534" s="227">
        <f t="shared" si="87"/>
        <v>44333</v>
      </c>
      <c r="D534" s="228">
        <f t="shared" si="88"/>
        <v>1</v>
      </c>
      <c r="E534" s="229">
        <f t="shared" si="81"/>
        <v>44333</v>
      </c>
      <c r="F534" s="228">
        <f t="shared" si="82"/>
        <v>0</v>
      </c>
      <c r="G534" s="230" t="str">
        <f t="shared" si="83"/>
        <v/>
      </c>
      <c r="H534" s="231" t="str">
        <f t="shared" si="84"/>
        <v/>
      </c>
      <c r="I534" s="228">
        <f t="shared" si="85"/>
        <v>0</v>
      </c>
      <c r="J534" s="228">
        <f t="shared" si="86"/>
        <v>360</v>
      </c>
      <c r="Q534" s="504">
        <f t="shared" ca="1" si="89"/>
        <v>44378</v>
      </c>
    </row>
    <row r="535" spans="2:17">
      <c r="B535" s="226" t="str">
        <f t="shared" si="80"/>
        <v/>
      </c>
      <c r="C535" s="227">
        <f t="shared" si="87"/>
        <v>44334</v>
      </c>
      <c r="D535" s="228">
        <f t="shared" si="88"/>
        <v>2</v>
      </c>
      <c r="E535" s="229">
        <f t="shared" si="81"/>
        <v>44334</v>
      </c>
      <c r="F535" s="228">
        <f t="shared" si="82"/>
        <v>0</v>
      </c>
      <c r="G535" s="230" t="str">
        <f t="shared" si="83"/>
        <v/>
      </c>
      <c r="H535" s="231" t="str">
        <f t="shared" si="84"/>
        <v/>
      </c>
      <c r="I535" s="228">
        <f t="shared" si="85"/>
        <v>0</v>
      </c>
      <c r="J535" s="228">
        <f t="shared" si="86"/>
        <v>361</v>
      </c>
      <c r="Q535" s="504">
        <f t="shared" ca="1" si="89"/>
        <v>44379</v>
      </c>
    </row>
    <row r="536" spans="2:17">
      <c r="B536" s="226" t="str">
        <f t="shared" si="80"/>
        <v/>
      </c>
      <c r="C536" s="227">
        <f t="shared" si="87"/>
        <v>44335</v>
      </c>
      <c r="D536" s="228">
        <f t="shared" si="88"/>
        <v>3</v>
      </c>
      <c r="E536" s="229">
        <f t="shared" si="81"/>
        <v>44335</v>
      </c>
      <c r="F536" s="228">
        <f t="shared" si="82"/>
        <v>0</v>
      </c>
      <c r="G536" s="230" t="str">
        <f t="shared" si="83"/>
        <v/>
      </c>
      <c r="H536" s="231" t="str">
        <f t="shared" si="84"/>
        <v/>
      </c>
      <c r="I536" s="228">
        <f t="shared" si="85"/>
        <v>0</v>
      </c>
      <c r="J536" s="228">
        <f t="shared" si="86"/>
        <v>362</v>
      </c>
      <c r="Q536" s="504">
        <f t="shared" ca="1" si="89"/>
        <v>44380</v>
      </c>
    </row>
    <row r="537" spans="2:17">
      <c r="B537" s="226" t="str">
        <f t="shared" si="80"/>
        <v/>
      </c>
      <c r="C537" s="227">
        <f t="shared" si="87"/>
        <v>44336</v>
      </c>
      <c r="D537" s="228">
        <f t="shared" si="88"/>
        <v>4</v>
      </c>
      <c r="E537" s="229">
        <f t="shared" si="81"/>
        <v>44336</v>
      </c>
      <c r="F537" s="228">
        <f t="shared" si="82"/>
        <v>0</v>
      </c>
      <c r="G537" s="230" t="str">
        <f t="shared" si="83"/>
        <v/>
      </c>
      <c r="H537" s="231" t="str">
        <f t="shared" si="84"/>
        <v/>
      </c>
      <c r="I537" s="228">
        <f t="shared" si="85"/>
        <v>0</v>
      </c>
      <c r="J537" s="228">
        <f t="shared" si="86"/>
        <v>363</v>
      </c>
      <c r="Q537" s="504">
        <f t="shared" ca="1" si="89"/>
        <v>44381</v>
      </c>
    </row>
    <row r="538" spans="2:17">
      <c r="B538" s="226" t="str">
        <f t="shared" si="80"/>
        <v/>
      </c>
      <c r="C538" s="227">
        <f t="shared" si="87"/>
        <v>44337</v>
      </c>
      <c r="D538" s="228">
        <f t="shared" si="88"/>
        <v>5</v>
      </c>
      <c r="E538" s="229">
        <f t="shared" si="81"/>
        <v>44337</v>
      </c>
      <c r="F538" s="228">
        <f t="shared" si="82"/>
        <v>0</v>
      </c>
      <c r="G538" s="230" t="str">
        <f t="shared" si="83"/>
        <v/>
      </c>
      <c r="H538" s="231" t="str">
        <f t="shared" si="84"/>
        <v/>
      </c>
      <c r="I538" s="228">
        <f t="shared" si="85"/>
        <v>0</v>
      </c>
      <c r="J538" s="228">
        <f t="shared" si="86"/>
        <v>364</v>
      </c>
      <c r="Q538" s="504">
        <f t="shared" ca="1" si="89"/>
        <v>44382</v>
      </c>
    </row>
    <row r="539" spans="2:17">
      <c r="B539" s="226" t="str">
        <f t="shared" si="80"/>
        <v/>
      </c>
      <c r="C539" s="227">
        <f t="shared" si="87"/>
        <v>44338</v>
      </c>
      <c r="D539" s="228">
        <f t="shared" si="88"/>
        <v>6</v>
      </c>
      <c r="E539" s="229">
        <f t="shared" si="81"/>
        <v>44338</v>
      </c>
      <c r="F539" s="228">
        <f t="shared" si="82"/>
        <v>0</v>
      </c>
      <c r="G539" s="230" t="str">
        <f t="shared" si="83"/>
        <v/>
      </c>
      <c r="H539" s="231" t="str">
        <f t="shared" si="84"/>
        <v/>
      </c>
      <c r="I539" s="228">
        <f t="shared" si="85"/>
        <v>1</v>
      </c>
      <c r="J539" s="228">
        <f t="shared" si="86"/>
        <v>364</v>
      </c>
      <c r="Q539" s="504">
        <f t="shared" ca="1" si="89"/>
        <v>44383</v>
      </c>
    </row>
    <row r="540" spans="2:17">
      <c r="B540" s="226" t="str">
        <f t="shared" si="80"/>
        <v/>
      </c>
      <c r="C540" s="227">
        <f t="shared" si="87"/>
        <v>44339</v>
      </c>
      <c r="D540" s="228">
        <f t="shared" si="88"/>
        <v>7</v>
      </c>
      <c r="E540" s="229">
        <f t="shared" si="81"/>
        <v>44339</v>
      </c>
      <c r="F540" s="228">
        <f t="shared" si="82"/>
        <v>54</v>
      </c>
      <c r="G540" s="230">
        <f t="shared" si="83"/>
        <v>44339</v>
      </c>
      <c r="H540" s="231" t="str">
        <f t="shared" si="84"/>
        <v>1. Pinsedag</v>
      </c>
      <c r="I540" s="228">
        <f t="shared" si="85"/>
        <v>1</v>
      </c>
      <c r="J540" s="228">
        <f t="shared" si="86"/>
        <v>364</v>
      </c>
      <c r="Q540" s="504">
        <f t="shared" ca="1" si="89"/>
        <v>44384</v>
      </c>
    </row>
    <row r="541" spans="2:17">
      <c r="B541" s="226" t="str">
        <f t="shared" si="80"/>
        <v/>
      </c>
      <c r="C541" s="227">
        <f t="shared" si="87"/>
        <v>44340</v>
      </c>
      <c r="D541" s="228">
        <f t="shared" si="88"/>
        <v>1</v>
      </c>
      <c r="E541" s="229">
        <f t="shared" si="81"/>
        <v>44340</v>
      </c>
      <c r="F541" s="228">
        <f t="shared" si="82"/>
        <v>55</v>
      </c>
      <c r="G541" s="230">
        <f t="shared" si="83"/>
        <v>44340</v>
      </c>
      <c r="H541" s="231" t="str">
        <f t="shared" si="84"/>
        <v>2. Pinsedag</v>
      </c>
      <c r="I541" s="228">
        <f t="shared" si="85"/>
        <v>1</v>
      </c>
      <c r="J541" s="228">
        <f t="shared" si="86"/>
        <v>364</v>
      </c>
      <c r="Q541" s="504">
        <f t="shared" ca="1" si="89"/>
        <v>44385</v>
      </c>
    </row>
    <row r="542" spans="2:17">
      <c r="B542" s="226" t="str">
        <f t="shared" si="80"/>
        <v/>
      </c>
      <c r="C542" s="227">
        <f t="shared" si="87"/>
        <v>44341</v>
      </c>
      <c r="D542" s="228">
        <f t="shared" si="88"/>
        <v>2</v>
      </c>
      <c r="E542" s="229">
        <f t="shared" si="81"/>
        <v>44341</v>
      </c>
      <c r="F542" s="228">
        <f t="shared" si="82"/>
        <v>0</v>
      </c>
      <c r="G542" s="230" t="str">
        <f t="shared" si="83"/>
        <v/>
      </c>
      <c r="H542" s="231" t="str">
        <f t="shared" si="84"/>
        <v/>
      </c>
      <c r="I542" s="228">
        <f t="shared" si="85"/>
        <v>0</v>
      </c>
      <c r="J542" s="228">
        <f t="shared" si="86"/>
        <v>365</v>
      </c>
      <c r="Q542" s="504">
        <f t="shared" ca="1" si="89"/>
        <v>44386</v>
      </c>
    </row>
    <row r="543" spans="2:17">
      <c r="B543" s="226" t="str">
        <f t="shared" si="80"/>
        <v/>
      </c>
      <c r="C543" s="227">
        <f t="shared" si="87"/>
        <v>44342</v>
      </c>
      <c r="D543" s="228">
        <f t="shared" si="88"/>
        <v>3</v>
      </c>
      <c r="E543" s="229">
        <f t="shared" si="81"/>
        <v>44342</v>
      </c>
      <c r="F543" s="228">
        <f t="shared" si="82"/>
        <v>0</v>
      </c>
      <c r="G543" s="230" t="str">
        <f t="shared" si="83"/>
        <v/>
      </c>
      <c r="H543" s="231" t="str">
        <f t="shared" si="84"/>
        <v/>
      </c>
      <c r="I543" s="228">
        <f t="shared" si="85"/>
        <v>0</v>
      </c>
      <c r="J543" s="228">
        <f t="shared" si="86"/>
        <v>366</v>
      </c>
      <c r="Q543" s="504">
        <f t="shared" ca="1" si="89"/>
        <v>44387</v>
      </c>
    </row>
    <row r="544" spans="2:17">
      <c r="B544" s="226" t="str">
        <f t="shared" si="80"/>
        <v/>
      </c>
      <c r="C544" s="227">
        <f t="shared" si="87"/>
        <v>44343</v>
      </c>
      <c r="D544" s="228">
        <f t="shared" si="88"/>
        <v>4</v>
      </c>
      <c r="E544" s="229">
        <f t="shared" si="81"/>
        <v>44343</v>
      </c>
      <c r="F544" s="228">
        <f t="shared" si="82"/>
        <v>0</v>
      </c>
      <c r="G544" s="230" t="str">
        <f t="shared" si="83"/>
        <v/>
      </c>
      <c r="H544" s="231" t="str">
        <f t="shared" si="84"/>
        <v/>
      </c>
      <c r="I544" s="228">
        <f t="shared" si="85"/>
        <v>0</v>
      </c>
      <c r="J544" s="228">
        <f t="shared" si="86"/>
        <v>367</v>
      </c>
      <c r="Q544" s="504">
        <f t="shared" ca="1" si="89"/>
        <v>44388</v>
      </c>
    </row>
    <row r="545" spans="2:17">
      <c r="B545" s="226" t="str">
        <f t="shared" si="80"/>
        <v/>
      </c>
      <c r="C545" s="227">
        <f t="shared" si="87"/>
        <v>44344</v>
      </c>
      <c r="D545" s="228">
        <f t="shared" si="88"/>
        <v>5</v>
      </c>
      <c r="E545" s="229">
        <f t="shared" si="81"/>
        <v>44344</v>
      </c>
      <c r="F545" s="228">
        <f t="shared" si="82"/>
        <v>0</v>
      </c>
      <c r="G545" s="230" t="str">
        <f t="shared" si="83"/>
        <v/>
      </c>
      <c r="H545" s="231" t="str">
        <f t="shared" si="84"/>
        <v/>
      </c>
      <c r="I545" s="228">
        <f t="shared" si="85"/>
        <v>0</v>
      </c>
      <c r="J545" s="228">
        <f t="shared" si="86"/>
        <v>368</v>
      </c>
      <c r="Q545" s="504">
        <f t="shared" ca="1" si="89"/>
        <v>44389</v>
      </c>
    </row>
    <row r="546" spans="2:17">
      <c r="B546" s="226" t="str">
        <f t="shared" si="80"/>
        <v/>
      </c>
      <c r="C546" s="227">
        <f t="shared" si="87"/>
        <v>44345</v>
      </c>
      <c r="D546" s="228">
        <f t="shared" si="88"/>
        <v>6</v>
      </c>
      <c r="E546" s="229">
        <f t="shared" si="81"/>
        <v>44345</v>
      </c>
      <c r="F546" s="228">
        <f t="shared" si="82"/>
        <v>0</v>
      </c>
      <c r="G546" s="230" t="str">
        <f t="shared" si="83"/>
        <v/>
      </c>
      <c r="H546" s="231" t="str">
        <f t="shared" si="84"/>
        <v/>
      </c>
      <c r="I546" s="228">
        <f t="shared" si="85"/>
        <v>1</v>
      </c>
      <c r="J546" s="228">
        <f t="shared" si="86"/>
        <v>368</v>
      </c>
      <c r="Q546" s="504">
        <f t="shared" ca="1" si="89"/>
        <v>44390</v>
      </c>
    </row>
    <row r="547" spans="2:17">
      <c r="B547" s="226" t="str">
        <f t="shared" si="80"/>
        <v/>
      </c>
      <c r="C547" s="227">
        <f t="shared" si="87"/>
        <v>44346</v>
      </c>
      <c r="D547" s="228">
        <f t="shared" si="88"/>
        <v>7</v>
      </c>
      <c r="E547" s="229">
        <f t="shared" si="81"/>
        <v>44346</v>
      </c>
      <c r="F547" s="228">
        <f t="shared" si="82"/>
        <v>0</v>
      </c>
      <c r="G547" s="230" t="str">
        <f t="shared" si="83"/>
        <v/>
      </c>
      <c r="H547" s="231" t="str">
        <f t="shared" si="84"/>
        <v/>
      </c>
      <c r="I547" s="228">
        <f t="shared" si="85"/>
        <v>1</v>
      </c>
      <c r="J547" s="228">
        <f t="shared" si="86"/>
        <v>368</v>
      </c>
      <c r="Q547" s="504">
        <f t="shared" ca="1" si="89"/>
        <v>44391</v>
      </c>
    </row>
    <row r="548" spans="2:17">
      <c r="B548" s="226" t="str">
        <f t="shared" si="80"/>
        <v/>
      </c>
      <c r="C548" s="227">
        <f t="shared" si="87"/>
        <v>44347</v>
      </c>
      <c r="D548" s="228">
        <f t="shared" si="88"/>
        <v>1</v>
      </c>
      <c r="E548" s="229">
        <f t="shared" si="81"/>
        <v>44347</v>
      </c>
      <c r="F548" s="228">
        <f t="shared" si="82"/>
        <v>0</v>
      </c>
      <c r="G548" s="230" t="str">
        <f t="shared" si="83"/>
        <v/>
      </c>
      <c r="H548" s="231" t="str">
        <f t="shared" si="84"/>
        <v/>
      </c>
      <c r="I548" s="228">
        <f t="shared" si="85"/>
        <v>0</v>
      </c>
      <c r="J548" s="228">
        <f t="shared" si="86"/>
        <v>369</v>
      </c>
      <c r="Q548" s="504">
        <f t="shared" ca="1" si="89"/>
        <v>44392</v>
      </c>
    </row>
    <row r="549" spans="2:17">
      <c r="B549" s="226" t="str">
        <f t="shared" si="80"/>
        <v/>
      </c>
      <c r="C549" s="227">
        <f t="shared" si="87"/>
        <v>44348</v>
      </c>
      <c r="D549" s="228">
        <f t="shared" si="88"/>
        <v>2</v>
      </c>
      <c r="E549" s="229">
        <f t="shared" si="81"/>
        <v>44348</v>
      </c>
      <c r="F549" s="228">
        <f t="shared" si="82"/>
        <v>0</v>
      </c>
      <c r="G549" s="230" t="str">
        <f t="shared" si="83"/>
        <v/>
      </c>
      <c r="H549" s="231" t="str">
        <f t="shared" si="84"/>
        <v/>
      </c>
      <c r="I549" s="228">
        <f t="shared" si="85"/>
        <v>0</v>
      </c>
      <c r="J549" s="228">
        <f t="shared" si="86"/>
        <v>370</v>
      </c>
      <c r="Q549" s="504">
        <f t="shared" ca="1" si="89"/>
        <v>44393</v>
      </c>
    </row>
    <row r="550" spans="2:17">
      <c r="B550" s="226" t="str">
        <f t="shared" si="80"/>
        <v/>
      </c>
      <c r="C550" s="227">
        <f t="shared" si="87"/>
        <v>44349</v>
      </c>
      <c r="D550" s="228">
        <f t="shared" si="88"/>
        <v>3</v>
      </c>
      <c r="E550" s="229">
        <f t="shared" si="81"/>
        <v>44349</v>
      </c>
      <c r="F550" s="228">
        <f t="shared" si="82"/>
        <v>0</v>
      </c>
      <c r="G550" s="230" t="str">
        <f t="shared" si="83"/>
        <v/>
      </c>
      <c r="H550" s="231" t="str">
        <f t="shared" si="84"/>
        <v/>
      </c>
      <c r="I550" s="228">
        <f t="shared" si="85"/>
        <v>0</v>
      </c>
      <c r="J550" s="228">
        <f t="shared" si="86"/>
        <v>371</v>
      </c>
      <c r="Q550" s="504">
        <f t="shared" ca="1" si="89"/>
        <v>44394</v>
      </c>
    </row>
    <row r="551" spans="2:17">
      <c r="B551" s="226" t="str">
        <f t="shared" si="80"/>
        <v/>
      </c>
      <c r="C551" s="227">
        <f t="shared" si="87"/>
        <v>44350</v>
      </c>
      <c r="D551" s="228">
        <f t="shared" si="88"/>
        <v>4</v>
      </c>
      <c r="E551" s="229">
        <f t="shared" si="81"/>
        <v>44350</v>
      </c>
      <c r="F551" s="228">
        <f t="shared" si="82"/>
        <v>0</v>
      </c>
      <c r="G551" s="230" t="str">
        <f t="shared" si="83"/>
        <v/>
      </c>
      <c r="H551" s="231" t="str">
        <f t="shared" si="84"/>
        <v/>
      </c>
      <c r="I551" s="228">
        <f t="shared" si="85"/>
        <v>0</v>
      </c>
      <c r="J551" s="228">
        <f t="shared" si="86"/>
        <v>372</v>
      </c>
      <c r="Q551" s="504">
        <f t="shared" ca="1" si="89"/>
        <v>44395</v>
      </c>
    </row>
    <row r="552" spans="2:17">
      <c r="B552" s="226" t="str">
        <f t="shared" si="80"/>
        <v/>
      </c>
      <c r="C552" s="227">
        <f t="shared" si="87"/>
        <v>44351</v>
      </c>
      <c r="D552" s="228">
        <f t="shared" si="88"/>
        <v>5</v>
      </c>
      <c r="E552" s="229">
        <f t="shared" si="81"/>
        <v>44351</v>
      </c>
      <c r="F552" s="228">
        <f t="shared" si="82"/>
        <v>0</v>
      </c>
      <c r="G552" s="230" t="str">
        <f t="shared" si="83"/>
        <v/>
      </c>
      <c r="H552" s="231" t="str">
        <f t="shared" si="84"/>
        <v/>
      </c>
      <c r="I552" s="228">
        <f t="shared" si="85"/>
        <v>0</v>
      </c>
      <c r="J552" s="228">
        <f t="shared" si="86"/>
        <v>373</v>
      </c>
      <c r="Q552" s="504">
        <f t="shared" ca="1" si="89"/>
        <v>44396</v>
      </c>
    </row>
    <row r="553" spans="2:17">
      <c r="B553" s="226" t="str">
        <f t="shared" si="80"/>
        <v/>
      </c>
      <c r="C553" s="227">
        <f t="shared" si="87"/>
        <v>44352</v>
      </c>
      <c r="D553" s="228">
        <f t="shared" si="88"/>
        <v>6</v>
      </c>
      <c r="E553" s="229">
        <f t="shared" si="81"/>
        <v>44352</v>
      </c>
      <c r="F553" s="228">
        <f t="shared" si="82"/>
        <v>0</v>
      </c>
      <c r="G553" s="230" t="str">
        <f t="shared" si="83"/>
        <v/>
      </c>
      <c r="H553" s="231" t="str">
        <f t="shared" si="84"/>
        <v/>
      </c>
      <c r="I553" s="228">
        <f t="shared" si="85"/>
        <v>1</v>
      </c>
      <c r="J553" s="228">
        <f t="shared" si="86"/>
        <v>373</v>
      </c>
      <c r="Q553" s="504">
        <f t="shared" ca="1" si="89"/>
        <v>44397</v>
      </c>
    </row>
    <row r="554" spans="2:17">
      <c r="B554" s="226" t="str">
        <f t="shared" si="80"/>
        <v/>
      </c>
      <c r="C554" s="227">
        <f t="shared" si="87"/>
        <v>44353</v>
      </c>
      <c r="D554" s="228">
        <f t="shared" si="88"/>
        <v>7</v>
      </c>
      <c r="E554" s="229">
        <f t="shared" si="81"/>
        <v>44353</v>
      </c>
      <c r="F554" s="228">
        <f t="shared" si="82"/>
        <v>0</v>
      </c>
      <c r="G554" s="230" t="str">
        <f t="shared" si="83"/>
        <v/>
      </c>
      <c r="H554" s="231" t="str">
        <f t="shared" si="84"/>
        <v/>
      </c>
      <c r="I554" s="228">
        <f t="shared" si="85"/>
        <v>1</v>
      </c>
      <c r="J554" s="228">
        <f t="shared" si="86"/>
        <v>373</v>
      </c>
      <c r="Q554" s="504">
        <f t="shared" ca="1" si="89"/>
        <v>44398</v>
      </c>
    </row>
    <row r="555" spans="2:17">
      <c r="B555" s="226" t="str">
        <f t="shared" si="80"/>
        <v/>
      </c>
      <c r="C555" s="227">
        <f t="shared" si="87"/>
        <v>44354</v>
      </c>
      <c r="D555" s="228">
        <f t="shared" si="88"/>
        <v>1</v>
      </c>
      <c r="E555" s="229">
        <f t="shared" si="81"/>
        <v>44354</v>
      </c>
      <c r="F555" s="228">
        <f t="shared" si="82"/>
        <v>0</v>
      </c>
      <c r="G555" s="230" t="str">
        <f t="shared" si="83"/>
        <v/>
      </c>
      <c r="H555" s="231" t="str">
        <f t="shared" si="84"/>
        <v/>
      </c>
      <c r="I555" s="228">
        <f t="shared" si="85"/>
        <v>0</v>
      </c>
      <c r="J555" s="228">
        <f t="shared" si="86"/>
        <v>374</v>
      </c>
      <c r="Q555" s="504">
        <f t="shared" ca="1" si="89"/>
        <v>44399</v>
      </c>
    </row>
    <row r="556" spans="2:17">
      <c r="B556" s="226" t="str">
        <f t="shared" si="80"/>
        <v/>
      </c>
      <c r="C556" s="227">
        <f t="shared" si="87"/>
        <v>44355</v>
      </c>
      <c r="D556" s="228">
        <f t="shared" si="88"/>
        <v>2</v>
      </c>
      <c r="E556" s="229">
        <f t="shared" si="81"/>
        <v>44355</v>
      </c>
      <c r="F556" s="228">
        <f t="shared" si="82"/>
        <v>0</v>
      </c>
      <c r="G556" s="230" t="str">
        <f t="shared" si="83"/>
        <v/>
      </c>
      <c r="H556" s="231" t="str">
        <f t="shared" si="84"/>
        <v/>
      </c>
      <c r="I556" s="228">
        <f t="shared" si="85"/>
        <v>0</v>
      </c>
      <c r="J556" s="228">
        <f t="shared" si="86"/>
        <v>375</v>
      </c>
      <c r="Q556" s="504">
        <f t="shared" ca="1" si="89"/>
        <v>44400</v>
      </c>
    </row>
    <row r="557" spans="2:17">
      <c r="B557" s="226" t="str">
        <f t="shared" si="80"/>
        <v/>
      </c>
      <c r="C557" s="227">
        <f t="shared" si="87"/>
        <v>44356</v>
      </c>
      <c r="D557" s="228">
        <f t="shared" si="88"/>
        <v>3</v>
      </c>
      <c r="E557" s="229">
        <f t="shared" si="81"/>
        <v>44356</v>
      </c>
      <c r="F557" s="228">
        <f t="shared" si="82"/>
        <v>0</v>
      </c>
      <c r="G557" s="230" t="str">
        <f t="shared" si="83"/>
        <v/>
      </c>
      <c r="H557" s="231" t="str">
        <f t="shared" si="84"/>
        <v/>
      </c>
      <c r="I557" s="228">
        <f t="shared" si="85"/>
        <v>0</v>
      </c>
      <c r="J557" s="228">
        <f t="shared" si="86"/>
        <v>376</v>
      </c>
      <c r="Q557" s="504">
        <f t="shared" ca="1" si="89"/>
        <v>44401</v>
      </c>
    </row>
    <row r="558" spans="2:17">
      <c r="B558" s="226" t="str">
        <f t="shared" si="80"/>
        <v/>
      </c>
      <c r="C558" s="227">
        <f t="shared" si="87"/>
        <v>44357</v>
      </c>
      <c r="D558" s="228">
        <f t="shared" si="88"/>
        <v>4</v>
      </c>
      <c r="E558" s="229">
        <f t="shared" si="81"/>
        <v>44357</v>
      </c>
      <c r="F558" s="228">
        <f t="shared" si="82"/>
        <v>0</v>
      </c>
      <c r="G558" s="230" t="str">
        <f t="shared" si="83"/>
        <v/>
      </c>
      <c r="H558" s="231" t="str">
        <f t="shared" si="84"/>
        <v/>
      </c>
      <c r="I558" s="228">
        <f t="shared" si="85"/>
        <v>0</v>
      </c>
      <c r="J558" s="228">
        <f t="shared" si="86"/>
        <v>377</v>
      </c>
      <c r="Q558" s="504">
        <f t="shared" ca="1" si="89"/>
        <v>44402</v>
      </c>
    </row>
    <row r="559" spans="2:17">
      <c r="B559" s="226" t="str">
        <f t="shared" si="80"/>
        <v/>
      </c>
      <c r="C559" s="227">
        <f t="shared" si="87"/>
        <v>44358</v>
      </c>
      <c r="D559" s="228">
        <f t="shared" si="88"/>
        <v>5</v>
      </c>
      <c r="E559" s="229">
        <f t="shared" si="81"/>
        <v>44358</v>
      </c>
      <c r="F559" s="228">
        <f t="shared" si="82"/>
        <v>0</v>
      </c>
      <c r="G559" s="230" t="str">
        <f t="shared" si="83"/>
        <v/>
      </c>
      <c r="H559" s="231" t="str">
        <f t="shared" si="84"/>
        <v/>
      </c>
      <c r="I559" s="228">
        <f t="shared" si="85"/>
        <v>0</v>
      </c>
      <c r="J559" s="228">
        <f t="shared" si="86"/>
        <v>378</v>
      </c>
      <c r="Q559" s="504">
        <f t="shared" ca="1" si="89"/>
        <v>44403</v>
      </c>
    </row>
    <row r="560" spans="2:17">
      <c r="B560" s="226" t="str">
        <f t="shared" si="80"/>
        <v/>
      </c>
      <c r="C560" s="227">
        <f t="shared" si="87"/>
        <v>44359</v>
      </c>
      <c r="D560" s="228">
        <f t="shared" si="88"/>
        <v>6</v>
      </c>
      <c r="E560" s="229">
        <f t="shared" si="81"/>
        <v>44359</v>
      </c>
      <c r="F560" s="228">
        <f t="shared" si="82"/>
        <v>0</v>
      </c>
      <c r="G560" s="230" t="str">
        <f t="shared" si="83"/>
        <v/>
      </c>
      <c r="H560" s="231" t="str">
        <f t="shared" si="84"/>
        <v/>
      </c>
      <c r="I560" s="228">
        <f t="shared" si="85"/>
        <v>1</v>
      </c>
      <c r="J560" s="228">
        <f t="shared" si="86"/>
        <v>378</v>
      </c>
      <c r="Q560" s="504">
        <f t="shared" ca="1" si="89"/>
        <v>44404</v>
      </c>
    </row>
    <row r="561" spans="2:17">
      <c r="B561" s="226" t="str">
        <f t="shared" si="80"/>
        <v/>
      </c>
      <c r="C561" s="227">
        <f t="shared" si="87"/>
        <v>44360</v>
      </c>
      <c r="D561" s="228">
        <f t="shared" si="88"/>
        <v>7</v>
      </c>
      <c r="E561" s="229">
        <f t="shared" si="81"/>
        <v>44360</v>
      </c>
      <c r="F561" s="228">
        <f t="shared" si="82"/>
        <v>0</v>
      </c>
      <c r="G561" s="230" t="str">
        <f t="shared" si="83"/>
        <v/>
      </c>
      <c r="H561" s="231" t="str">
        <f t="shared" si="84"/>
        <v/>
      </c>
      <c r="I561" s="228">
        <f t="shared" si="85"/>
        <v>1</v>
      </c>
      <c r="J561" s="228">
        <f t="shared" si="86"/>
        <v>378</v>
      </c>
      <c r="Q561" s="504">
        <f t="shared" ca="1" si="89"/>
        <v>44405</v>
      </c>
    </row>
    <row r="562" spans="2:17">
      <c r="B562" s="226" t="str">
        <f t="shared" si="80"/>
        <v/>
      </c>
      <c r="C562" s="227">
        <f t="shared" si="87"/>
        <v>44361</v>
      </c>
      <c r="D562" s="228">
        <f t="shared" si="88"/>
        <v>1</v>
      </c>
      <c r="E562" s="229">
        <f t="shared" si="81"/>
        <v>44361</v>
      </c>
      <c r="F562" s="228">
        <f t="shared" si="82"/>
        <v>0</v>
      </c>
      <c r="G562" s="230" t="str">
        <f t="shared" si="83"/>
        <v/>
      </c>
      <c r="H562" s="231" t="str">
        <f t="shared" si="84"/>
        <v/>
      </c>
      <c r="I562" s="228">
        <f t="shared" si="85"/>
        <v>0</v>
      </c>
      <c r="J562" s="228">
        <f t="shared" si="86"/>
        <v>379</v>
      </c>
      <c r="Q562" s="504">
        <f t="shared" ca="1" si="89"/>
        <v>44406</v>
      </c>
    </row>
    <row r="563" spans="2:17">
      <c r="B563" s="226" t="str">
        <f t="shared" si="80"/>
        <v/>
      </c>
      <c r="C563" s="227">
        <f t="shared" si="87"/>
        <v>44362</v>
      </c>
      <c r="D563" s="228">
        <f t="shared" si="88"/>
        <v>2</v>
      </c>
      <c r="E563" s="229">
        <f t="shared" si="81"/>
        <v>44362</v>
      </c>
      <c r="F563" s="228">
        <f t="shared" si="82"/>
        <v>0</v>
      </c>
      <c r="G563" s="230" t="str">
        <f t="shared" si="83"/>
        <v/>
      </c>
      <c r="H563" s="231" t="str">
        <f t="shared" si="84"/>
        <v/>
      </c>
      <c r="I563" s="228">
        <f t="shared" si="85"/>
        <v>0</v>
      </c>
      <c r="J563" s="228">
        <f t="shared" si="86"/>
        <v>380</v>
      </c>
      <c r="Q563" s="504">
        <f t="shared" ca="1" si="89"/>
        <v>44407</v>
      </c>
    </row>
    <row r="564" spans="2:17">
      <c r="B564" s="226" t="str">
        <f t="shared" si="80"/>
        <v/>
      </c>
      <c r="C564" s="227">
        <f t="shared" si="87"/>
        <v>44363</v>
      </c>
      <c r="D564" s="228">
        <f t="shared" si="88"/>
        <v>3</v>
      </c>
      <c r="E564" s="229">
        <f t="shared" si="81"/>
        <v>44363</v>
      </c>
      <c r="F564" s="228">
        <f t="shared" si="82"/>
        <v>0</v>
      </c>
      <c r="G564" s="230" t="str">
        <f t="shared" si="83"/>
        <v/>
      </c>
      <c r="H564" s="231" t="str">
        <f t="shared" si="84"/>
        <v/>
      </c>
      <c r="I564" s="228">
        <f t="shared" si="85"/>
        <v>0</v>
      </c>
      <c r="J564" s="228">
        <f t="shared" si="86"/>
        <v>381</v>
      </c>
      <c r="Q564" s="504">
        <f t="shared" ca="1" si="89"/>
        <v>44408</v>
      </c>
    </row>
    <row r="565" spans="2:17">
      <c r="B565" s="226" t="str">
        <f t="shared" si="80"/>
        <v/>
      </c>
      <c r="C565" s="227">
        <f t="shared" si="87"/>
        <v>44364</v>
      </c>
      <c r="D565" s="228">
        <f t="shared" si="88"/>
        <v>4</v>
      </c>
      <c r="E565" s="229">
        <f t="shared" si="81"/>
        <v>44364</v>
      </c>
      <c r="F565" s="228">
        <f t="shared" si="82"/>
        <v>0</v>
      </c>
      <c r="G565" s="230" t="str">
        <f t="shared" si="83"/>
        <v/>
      </c>
      <c r="H565" s="231" t="str">
        <f t="shared" si="84"/>
        <v/>
      </c>
      <c r="I565" s="228">
        <f t="shared" si="85"/>
        <v>0</v>
      </c>
      <c r="J565" s="228">
        <f t="shared" si="86"/>
        <v>382</v>
      </c>
      <c r="Q565" s="504">
        <f t="shared" ca="1" si="89"/>
        <v>44409</v>
      </c>
    </row>
    <row r="566" spans="2:17">
      <c r="B566" s="226" t="str">
        <f t="shared" si="80"/>
        <v/>
      </c>
      <c r="C566" s="227">
        <f t="shared" si="87"/>
        <v>44365</v>
      </c>
      <c r="D566" s="228">
        <f t="shared" si="88"/>
        <v>5</v>
      </c>
      <c r="E566" s="229">
        <f t="shared" si="81"/>
        <v>44365</v>
      </c>
      <c r="F566" s="228">
        <f t="shared" si="82"/>
        <v>0</v>
      </c>
      <c r="G566" s="230" t="str">
        <f t="shared" si="83"/>
        <v/>
      </c>
      <c r="H566" s="231" t="str">
        <f t="shared" si="84"/>
        <v/>
      </c>
      <c r="I566" s="228">
        <f t="shared" si="85"/>
        <v>0</v>
      </c>
      <c r="J566" s="228">
        <f t="shared" si="86"/>
        <v>383</v>
      </c>
      <c r="Q566" s="504">
        <f t="shared" ca="1" si="89"/>
        <v>44410</v>
      </c>
    </row>
    <row r="567" spans="2:17">
      <c r="B567" s="226" t="str">
        <f t="shared" si="80"/>
        <v/>
      </c>
      <c r="C567" s="227">
        <f t="shared" si="87"/>
        <v>44366</v>
      </c>
      <c r="D567" s="228">
        <f t="shared" si="88"/>
        <v>6</v>
      </c>
      <c r="E567" s="229">
        <f t="shared" si="81"/>
        <v>44366</v>
      </c>
      <c r="F567" s="228">
        <f t="shared" si="82"/>
        <v>0</v>
      </c>
      <c r="G567" s="230" t="str">
        <f t="shared" si="83"/>
        <v/>
      </c>
      <c r="H567" s="231" t="str">
        <f t="shared" si="84"/>
        <v/>
      </c>
      <c r="I567" s="228">
        <f t="shared" si="85"/>
        <v>1</v>
      </c>
      <c r="J567" s="228">
        <f t="shared" si="86"/>
        <v>383</v>
      </c>
      <c r="Q567" s="504">
        <f t="shared" ca="1" si="89"/>
        <v>44411</v>
      </c>
    </row>
    <row r="568" spans="2:17">
      <c r="B568" s="226" t="str">
        <f t="shared" si="80"/>
        <v/>
      </c>
      <c r="C568" s="227">
        <f t="shared" si="87"/>
        <v>44367</v>
      </c>
      <c r="D568" s="228">
        <f t="shared" si="88"/>
        <v>7</v>
      </c>
      <c r="E568" s="229">
        <f t="shared" si="81"/>
        <v>44367</v>
      </c>
      <c r="F568" s="228">
        <f t="shared" si="82"/>
        <v>0</v>
      </c>
      <c r="G568" s="230" t="str">
        <f t="shared" si="83"/>
        <v/>
      </c>
      <c r="H568" s="231" t="str">
        <f t="shared" si="84"/>
        <v/>
      </c>
      <c r="I568" s="228">
        <f t="shared" si="85"/>
        <v>1</v>
      </c>
      <c r="J568" s="228">
        <f t="shared" si="86"/>
        <v>383</v>
      </c>
      <c r="Q568" s="504">
        <f t="shared" ca="1" si="89"/>
        <v>44412</v>
      </c>
    </row>
    <row r="569" spans="2:17">
      <c r="B569" s="226" t="str">
        <f t="shared" si="80"/>
        <v/>
      </c>
      <c r="C569" s="227">
        <f t="shared" si="87"/>
        <v>44368</v>
      </c>
      <c r="D569" s="228">
        <f t="shared" si="88"/>
        <v>1</v>
      </c>
      <c r="E569" s="229">
        <f t="shared" si="81"/>
        <v>44368</v>
      </c>
      <c r="F569" s="228">
        <f t="shared" si="82"/>
        <v>0</v>
      </c>
      <c r="G569" s="230" t="str">
        <f t="shared" si="83"/>
        <v/>
      </c>
      <c r="H569" s="231" t="str">
        <f t="shared" si="84"/>
        <v/>
      </c>
      <c r="I569" s="228">
        <f t="shared" si="85"/>
        <v>0</v>
      </c>
      <c r="J569" s="228">
        <f t="shared" si="86"/>
        <v>384</v>
      </c>
      <c r="Q569" s="504">
        <f t="shared" ca="1" si="89"/>
        <v>44413</v>
      </c>
    </row>
    <row r="570" spans="2:17">
      <c r="B570" s="226" t="str">
        <f t="shared" si="80"/>
        <v/>
      </c>
      <c r="C570" s="227">
        <f t="shared" si="87"/>
        <v>44369</v>
      </c>
      <c r="D570" s="228">
        <f t="shared" si="88"/>
        <v>2</v>
      </c>
      <c r="E570" s="229">
        <f t="shared" si="81"/>
        <v>44369</v>
      </c>
      <c r="F570" s="228">
        <f t="shared" si="82"/>
        <v>0</v>
      </c>
      <c r="G570" s="230" t="str">
        <f t="shared" si="83"/>
        <v/>
      </c>
      <c r="H570" s="231" t="str">
        <f t="shared" si="84"/>
        <v/>
      </c>
      <c r="I570" s="228">
        <f t="shared" si="85"/>
        <v>0</v>
      </c>
      <c r="J570" s="228">
        <f t="shared" si="86"/>
        <v>385</v>
      </c>
      <c r="Q570" s="504">
        <f t="shared" ca="1" si="89"/>
        <v>44414</v>
      </c>
    </row>
    <row r="571" spans="2:17">
      <c r="B571" s="226" t="str">
        <f t="shared" si="80"/>
        <v/>
      </c>
      <c r="C571" s="227">
        <f t="shared" si="87"/>
        <v>44370</v>
      </c>
      <c r="D571" s="228">
        <f t="shared" si="88"/>
        <v>3</v>
      </c>
      <c r="E571" s="229">
        <f t="shared" si="81"/>
        <v>44370</v>
      </c>
      <c r="F571" s="228">
        <f t="shared" si="82"/>
        <v>0</v>
      </c>
      <c r="G571" s="230" t="str">
        <f t="shared" si="83"/>
        <v/>
      </c>
      <c r="H571" s="231" t="str">
        <f t="shared" si="84"/>
        <v/>
      </c>
      <c r="I571" s="228">
        <f t="shared" si="85"/>
        <v>0</v>
      </c>
      <c r="J571" s="228">
        <f t="shared" si="86"/>
        <v>386</v>
      </c>
      <c r="Q571" s="504">
        <f t="shared" ca="1" si="89"/>
        <v>44415</v>
      </c>
    </row>
    <row r="572" spans="2:17">
      <c r="B572" s="226" t="str">
        <f t="shared" si="80"/>
        <v/>
      </c>
      <c r="C572" s="227">
        <f t="shared" si="87"/>
        <v>44371</v>
      </c>
      <c r="D572" s="228">
        <f t="shared" si="88"/>
        <v>4</v>
      </c>
      <c r="E572" s="229">
        <f t="shared" si="81"/>
        <v>44371</v>
      </c>
      <c r="F572" s="228">
        <f t="shared" si="82"/>
        <v>0</v>
      </c>
      <c r="G572" s="230" t="str">
        <f t="shared" si="83"/>
        <v/>
      </c>
      <c r="H572" s="231" t="str">
        <f t="shared" si="84"/>
        <v/>
      </c>
      <c r="I572" s="228">
        <f t="shared" si="85"/>
        <v>0</v>
      </c>
      <c r="J572" s="228">
        <f t="shared" si="86"/>
        <v>387</v>
      </c>
      <c r="Q572" s="504">
        <f t="shared" ca="1" si="89"/>
        <v>44416</v>
      </c>
    </row>
    <row r="573" spans="2:17">
      <c r="B573" s="226" t="str">
        <f t="shared" si="80"/>
        <v/>
      </c>
      <c r="C573" s="227">
        <f t="shared" si="87"/>
        <v>44372</v>
      </c>
      <c r="D573" s="228">
        <f t="shared" si="88"/>
        <v>5</v>
      </c>
      <c r="E573" s="229">
        <f t="shared" si="81"/>
        <v>44372</v>
      </c>
      <c r="F573" s="228">
        <f t="shared" si="82"/>
        <v>0</v>
      </c>
      <c r="G573" s="230" t="str">
        <f t="shared" si="83"/>
        <v/>
      </c>
      <c r="H573" s="231" t="str">
        <f t="shared" si="84"/>
        <v/>
      </c>
      <c r="I573" s="228">
        <f t="shared" si="85"/>
        <v>0</v>
      </c>
      <c r="J573" s="228">
        <f t="shared" si="86"/>
        <v>388</v>
      </c>
      <c r="Q573" s="504">
        <f t="shared" ca="1" si="89"/>
        <v>44417</v>
      </c>
    </row>
    <row r="574" spans="2:17">
      <c r="B574" s="226" t="str">
        <f t="shared" si="80"/>
        <v/>
      </c>
      <c r="C574" s="227">
        <f t="shared" si="87"/>
        <v>44373</v>
      </c>
      <c r="D574" s="228">
        <f t="shared" si="88"/>
        <v>6</v>
      </c>
      <c r="E574" s="229">
        <f t="shared" si="81"/>
        <v>44373</v>
      </c>
      <c r="F574" s="228">
        <f t="shared" si="82"/>
        <v>0</v>
      </c>
      <c r="G574" s="230" t="str">
        <f t="shared" si="83"/>
        <v/>
      </c>
      <c r="H574" s="231" t="str">
        <f t="shared" si="84"/>
        <v/>
      </c>
      <c r="I574" s="228">
        <f t="shared" si="85"/>
        <v>1</v>
      </c>
      <c r="J574" s="228">
        <f t="shared" si="86"/>
        <v>388</v>
      </c>
      <c r="Q574" s="504">
        <f t="shared" ca="1" si="89"/>
        <v>44418</v>
      </c>
    </row>
    <row r="575" spans="2:17">
      <c r="B575" s="226" t="str">
        <f t="shared" si="80"/>
        <v/>
      </c>
      <c r="C575" s="227">
        <f t="shared" si="87"/>
        <v>44374</v>
      </c>
      <c r="D575" s="228">
        <f t="shared" si="88"/>
        <v>7</v>
      </c>
      <c r="E575" s="229">
        <f t="shared" si="81"/>
        <v>44374</v>
      </c>
      <c r="F575" s="228">
        <f t="shared" si="82"/>
        <v>0</v>
      </c>
      <c r="G575" s="230" t="str">
        <f t="shared" si="83"/>
        <v/>
      </c>
      <c r="H575" s="231" t="str">
        <f t="shared" si="84"/>
        <v/>
      </c>
      <c r="I575" s="228">
        <f t="shared" si="85"/>
        <v>1</v>
      </c>
      <c r="J575" s="228">
        <f t="shared" si="86"/>
        <v>388</v>
      </c>
      <c r="Q575" s="504">
        <f t="shared" ca="1" si="89"/>
        <v>44419</v>
      </c>
    </row>
    <row r="576" spans="2:17">
      <c r="B576" s="226" t="str">
        <f t="shared" si="80"/>
        <v/>
      </c>
      <c r="C576" s="227">
        <f t="shared" si="87"/>
        <v>44375</v>
      </c>
      <c r="D576" s="228">
        <f t="shared" si="88"/>
        <v>1</v>
      </c>
      <c r="E576" s="229">
        <f t="shared" si="81"/>
        <v>44375</v>
      </c>
      <c r="F576" s="228">
        <f t="shared" si="82"/>
        <v>0</v>
      </c>
      <c r="G576" s="230" t="str">
        <f t="shared" si="83"/>
        <v/>
      </c>
      <c r="H576" s="231" t="str">
        <f t="shared" si="84"/>
        <v/>
      </c>
      <c r="I576" s="228">
        <f t="shared" si="85"/>
        <v>0</v>
      </c>
      <c r="J576" s="228">
        <f t="shared" si="86"/>
        <v>389</v>
      </c>
      <c r="Q576" s="504">
        <f t="shared" ca="1" si="89"/>
        <v>44420</v>
      </c>
    </row>
    <row r="577" spans="2:17">
      <c r="B577" s="226" t="str">
        <f t="shared" si="80"/>
        <v/>
      </c>
      <c r="C577" s="227">
        <f t="shared" si="87"/>
        <v>44376</v>
      </c>
      <c r="D577" s="228">
        <f t="shared" si="88"/>
        <v>2</v>
      </c>
      <c r="E577" s="229">
        <f t="shared" si="81"/>
        <v>44376</v>
      </c>
      <c r="F577" s="228">
        <f t="shared" si="82"/>
        <v>0</v>
      </c>
      <c r="G577" s="230" t="str">
        <f t="shared" si="83"/>
        <v/>
      </c>
      <c r="H577" s="231" t="str">
        <f t="shared" si="84"/>
        <v/>
      </c>
      <c r="I577" s="228">
        <f t="shared" si="85"/>
        <v>0</v>
      </c>
      <c r="J577" s="228">
        <f t="shared" si="86"/>
        <v>390</v>
      </c>
      <c r="Q577" s="504">
        <f t="shared" ca="1" si="89"/>
        <v>44421</v>
      </c>
    </row>
    <row r="578" spans="2:17">
      <c r="B578" s="226" t="str">
        <f t="shared" si="80"/>
        <v/>
      </c>
      <c r="C578" s="227">
        <f t="shared" si="87"/>
        <v>44377</v>
      </c>
      <c r="D578" s="228">
        <f t="shared" si="88"/>
        <v>3</v>
      </c>
      <c r="E578" s="229">
        <f t="shared" si="81"/>
        <v>44377</v>
      </c>
      <c r="F578" s="228">
        <f t="shared" si="82"/>
        <v>0</v>
      </c>
      <c r="G578" s="230" t="str">
        <f t="shared" si="83"/>
        <v/>
      </c>
      <c r="H578" s="231" t="str">
        <f t="shared" si="84"/>
        <v/>
      </c>
      <c r="I578" s="228">
        <f t="shared" si="85"/>
        <v>0</v>
      </c>
      <c r="J578" s="228">
        <f t="shared" si="86"/>
        <v>391</v>
      </c>
      <c r="Q578" s="504">
        <f t="shared" ca="1" si="89"/>
        <v>44422</v>
      </c>
    </row>
    <row r="579" spans="2:17">
      <c r="B579" s="226" t="str">
        <f t="shared" si="80"/>
        <v/>
      </c>
      <c r="C579" s="227">
        <f t="shared" si="87"/>
        <v>44378</v>
      </c>
      <c r="D579" s="228">
        <f t="shared" si="88"/>
        <v>4</v>
      </c>
      <c r="E579" s="229">
        <f t="shared" si="81"/>
        <v>44378</v>
      </c>
      <c r="F579" s="228">
        <f t="shared" si="82"/>
        <v>0</v>
      </c>
      <c r="G579" s="230" t="str">
        <f t="shared" si="83"/>
        <v/>
      </c>
      <c r="H579" s="231" t="str">
        <f t="shared" si="84"/>
        <v/>
      </c>
      <c r="I579" s="228">
        <f t="shared" si="85"/>
        <v>0</v>
      </c>
      <c r="J579" s="228">
        <f t="shared" si="86"/>
        <v>392</v>
      </c>
      <c r="Q579" s="504">
        <f t="shared" ca="1" si="89"/>
        <v>44423</v>
      </c>
    </row>
    <row r="580" spans="2:17">
      <c r="B580" s="226" t="str">
        <f t="shared" si="80"/>
        <v/>
      </c>
      <c r="C580" s="227">
        <f t="shared" si="87"/>
        <v>44379</v>
      </c>
      <c r="D580" s="228">
        <f t="shared" si="88"/>
        <v>5</v>
      </c>
      <c r="E580" s="229">
        <f t="shared" si="81"/>
        <v>44379</v>
      </c>
      <c r="F580" s="228">
        <f t="shared" si="82"/>
        <v>0</v>
      </c>
      <c r="G580" s="230" t="str">
        <f t="shared" si="83"/>
        <v/>
      </c>
      <c r="H580" s="231" t="str">
        <f t="shared" si="84"/>
        <v/>
      </c>
      <c r="I580" s="228">
        <f t="shared" si="85"/>
        <v>0</v>
      </c>
      <c r="J580" s="228">
        <f t="shared" si="86"/>
        <v>393</v>
      </c>
      <c r="Q580" s="504">
        <f t="shared" ca="1" si="89"/>
        <v>44424</v>
      </c>
    </row>
    <row r="581" spans="2:17">
      <c r="B581" s="226" t="str">
        <f t="shared" si="80"/>
        <v/>
      </c>
      <c r="C581" s="227">
        <f t="shared" si="87"/>
        <v>44380</v>
      </c>
      <c r="D581" s="228">
        <f t="shared" si="88"/>
        <v>6</v>
      </c>
      <c r="E581" s="229">
        <f t="shared" si="81"/>
        <v>44380</v>
      </c>
      <c r="F581" s="228">
        <f t="shared" si="82"/>
        <v>0</v>
      </c>
      <c r="G581" s="230" t="str">
        <f t="shared" si="83"/>
        <v/>
      </c>
      <c r="H581" s="231" t="str">
        <f t="shared" si="84"/>
        <v/>
      </c>
      <c r="I581" s="228">
        <f t="shared" si="85"/>
        <v>1</v>
      </c>
      <c r="J581" s="228">
        <f t="shared" si="86"/>
        <v>393</v>
      </c>
      <c r="Q581" s="504">
        <f t="shared" ca="1" si="89"/>
        <v>44425</v>
      </c>
    </row>
    <row r="582" spans="2:17">
      <c r="B582" s="226" t="str">
        <f t="shared" si="80"/>
        <v/>
      </c>
      <c r="C582" s="227">
        <f t="shared" si="87"/>
        <v>44381</v>
      </c>
      <c r="D582" s="228">
        <f t="shared" si="88"/>
        <v>7</v>
      </c>
      <c r="E582" s="229">
        <f t="shared" si="81"/>
        <v>44381</v>
      </c>
      <c r="F582" s="228">
        <f t="shared" si="82"/>
        <v>0</v>
      </c>
      <c r="G582" s="230" t="str">
        <f t="shared" si="83"/>
        <v/>
      </c>
      <c r="H582" s="231" t="str">
        <f t="shared" si="84"/>
        <v/>
      </c>
      <c r="I582" s="228">
        <f t="shared" si="85"/>
        <v>1</v>
      </c>
      <c r="J582" s="228">
        <f t="shared" si="86"/>
        <v>393</v>
      </c>
      <c r="Q582" s="504">
        <f t="shared" ca="1" si="89"/>
        <v>44426</v>
      </c>
    </row>
    <row r="583" spans="2:17">
      <c r="B583" s="226" t="str">
        <f t="shared" si="80"/>
        <v/>
      </c>
      <c r="C583" s="227">
        <f t="shared" si="87"/>
        <v>44382</v>
      </c>
      <c r="D583" s="228">
        <f t="shared" si="88"/>
        <v>1</v>
      </c>
      <c r="E583" s="229">
        <f t="shared" si="81"/>
        <v>44382</v>
      </c>
      <c r="F583" s="228">
        <f t="shared" si="82"/>
        <v>0</v>
      </c>
      <c r="G583" s="230" t="str">
        <f t="shared" si="83"/>
        <v/>
      </c>
      <c r="H583" s="231" t="str">
        <f t="shared" si="84"/>
        <v/>
      </c>
      <c r="I583" s="228">
        <f t="shared" si="85"/>
        <v>0</v>
      </c>
      <c r="J583" s="228">
        <f t="shared" si="86"/>
        <v>394</v>
      </c>
      <c r="Q583" s="504">
        <f t="shared" ca="1" si="89"/>
        <v>44427</v>
      </c>
    </row>
    <row r="584" spans="2:17">
      <c r="B584" s="226" t="str">
        <f t="shared" si="80"/>
        <v/>
      </c>
      <c r="C584" s="227">
        <f t="shared" si="87"/>
        <v>44383</v>
      </c>
      <c r="D584" s="228">
        <f t="shared" si="88"/>
        <v>2</v>
      </c>
      <c r="E584" s="229">
        <f t="shared" si="81"/>
        <v>44383</v>
      </c>
      <c r="F584" s="228">
        <f t="shared" si="82"/>
        <v>0</v>
      </c>
      <c r="G584" s="230" t="str">
        <f t="shared" si="83"/>
        <v/>
      </c>
      <c r="H584" s="231" t="str">
        <f t="shared" si="84"/>
        <v/>
      </c>
      <c r="I584" s="228">
        <f t="shared" si="85"/>
        <v>0</v>
      </c>
      <c r="J584" s="228">
        <f t="shared" si="86"/>
        <v>395</v>
      </c>
      <c r="Q584" s="504">
        <f t="shared" ca="1" si="89"/>
        <v>44428</v>
      </c>
    </row>
    <row r="585" spans="2:17">
      <c r="B585" s="226" t="str">
        <f t="shared" si="80"/>
        <v/>
      </c>
      <c r="C585" s="227">
        <f t="shared" si="87"/>
        <v>44384</v>
      </c>
      <c r="D585" s="228">
        <f t="shared" si="88"/>
        <v>3</v>
      </c>
      <c r="E585" s="229">
        <f t="shared" si="81"/>
        <v>44384</v>
      </c>
      <c r="F585" s="228">
        <f t="shared" si="82"/>
        <v>0</v>
      </c>
      <c r="G585" s="230" t="str">
        <f t="shared" si="83"/>
        <v/>
      </c>
      <c r="H585" s="231" t="str">
        <f t="shared" si="84"/>
        <v/>
      </c>
      <c r="I585" s="228">
        <f t="shared" si="85"/>
        <v>0</v>
      </c>
      <c r="J585" s="228">
        <f t="shared" si="86"/>
        <v>396</v>
      </c>
      <c r="Q585" s="504">
        <f t="shared" ca="1" si="89"/>
        <v>44429</v>
      </c>
    </row>
    <row r="586" spans="2:17">
      <c r="B586" s="226" t="str">
        <f t="shared" si="80"/>
        <v/>
      </c>
      <c r="C586" s="227">
        <f t="shared" si="87"/>
        <v>44385</v>
      </c>
      <c r="D586" s="228">
        <f t="shared" si="88"/>
        <v>4</v>
      </c>
      <c r="E586" s="229">
        <f t="shared" si="81"/>
        <v>44385</v>
      </c>
      <c r="F586" s="228">
        <f t="shared" si="82"/>
        <v>0</v>
      </c>
      <c r="G586" s="230" t="str">
        <f t="shared" si="83"/>
        <v/>
      </c>
      <c r="H586" s="231" t="str">
        <f t="shared" si="84"/>
        <v/>
      </c>
      <c r="I586" s="228">
        <f t="shared" si="85"/>
        <v>0</v>
      </c>
      <c r="J586" s="228">
        <f t="shared" si="86"/>
        <v>397</v>
      </c>
      <c r="Q586" s="504">
        <f t="shared" ca="1" si="89"/>
        <v>44430</v>
      </c>
    </row>
    <row r="587" spans="2:17">
      <c r="B587" s="226" t="str">
        <f t="shared" si="80"/>
        <v/>
      </c>
      <c r="C587" s="227">
        <f t="shared" si="87"/>
        <v>44386</v>
      </c>
      <c r="D587" s="228">
        <f t="shared" si="88"/>
        <v>5</v>
      </c>
      <c r="E587" s="229">
        <f t="shared" si="81"/>
        <v>44386</v>
      </c>
      <c r="F587" s="228">
        <f t="shared" si="82"/>
        <v>0</v>
      </c>
      <c r="G587" s="230" t="str">
        <f t="shared" si="83"/>
        <v/>
      </c>
      <c r="H587" s="231" t="str">
        <f t="shared" si="84"/>
        <v/>
      </c>
      <c r="I587" s="228">
        <f t="shared" si="85"/>
        <v>0</v>
      </c>
      <c r="J587" s="228">
        <f t="shared" si="86"/>
        <v>398</v>
      </c>
      <c r="Q587" s="504">
        <f t="shared" ca="1" si="89"/>
        <v>44431</v>
      </c>
    </row>
    <row r="588" spans="2:17">
      <c r="B588" s="226" t="str">
        <f t="shared" si="80"/>
        <v/>
      </c>
      <c r="C588" s="227">
        <f t="shared" si="87"/>
        <v>44387</v>
      </c>
      <c r="D588" s="228">
        <f t="shared" si="88"/>
        <v>6</v>
      </c>
      <c r="E588" s="229">
        <f t="shared" si="81"/>
        <v>44387</v>
      </c>
      <c r="F588" s="228">
        <f t="shared" si="82"/>
        <v>0</v>
      </c>
      <c r="G588" s="230" t="str">
        <f t="shared" si="83"/>
        <v/>
      </c>
      <c r="H588" s="231" t="str">
        <f t="shared" si="84"/>
        <v/>
      </c>
      <c r="I588" s="228">
        <f t="shared" si="85"/>
        <v>1</v>
      </c>
      <c r="J588" s="228">
        <f t="shared" si="86"/>
        <v>398</v>
      </c>
      <c r="Q588" s="504">
        <f t="shared" ca="1" si="89"/>
        <v>44432</v>
      </c>
    </row>
    <row r="589" spans="2:17">
      <c r="B589" s="226" t="str">
        <f t="shared" si="80"/>
        <v/>
      </c>
      <c r="C589" s="227">
        <f t="shared" si="87"/>
        <v>44388</v>
      </c>
      <c r="D589" s="228">
        <f t="shared" si="88"/>
        <v>7</v>
      </c>
      <c r="E589" s="229">
        <f t="shared" si="81"/>
        <v>44388</v>
      </c>
      <c r="F589" s="228">
        <f t="shared" si="82"/>
        <v>0</v>
      </c>
      <c r="G589" s="230" t="str">
        <f t="shared" si="83"/>
        <v/>
      </c>
      <c r="H589" s="231" t="str">
        <f t="shared" si="84"/>
        <v/>
      </c>
      <c r="I589" s="228">
        <f t="shared" si="85"/>
        <v>1</v>
      </c>
      <c r="J589" s="228">
        <f t="shared" si="86"/>
        <v>398</v>
      </c>
      <c r="Q589" s="504">
        <f t="shared" ca="1" si="89"/>
        <v>44433</v>
      </c>
    </row>
    <row r="590" spans="2:17">
      <c r="B590" s="226" t="str">
        <f t="shared" ref="B590:B638" si="90">IF(J590=$C$4,"Til","")</f>
        <v/>
      </c>
      <c r="C590" s="227">
        <f t="shared" si="87"/>
        <v>44389</v>
      </c>
      <c r="D590" s="228">
        <f t="shared" si="88"/>
        <v>1</v>
      </c>
      <c r="E590" s="229">
        <f t="shared" ref="E590:E638" si="91">C590</f>
        <v>44389</v>
      </c>
      <c r="F590" s="228">
        <f t="shared" ref="F590:F638" si="92">IF(C590="","",IFERROR(MATCH(C590,INDEX(caHellig,,2),0),0))</f>
        <v>0</v>
      </c>
      <c r="G590" s="230" t="str">
        <f t="shared" ref="G590:G638" si="93">IF(C590="","",IF(F590&gt;0,INDEX(caHellig,F590,2),""))</f>
        <v/>
      </c>
      <c r="H590" s="231" t="str">
        <f t="shared" ref="H590:H638" si="94">IF(C590="","",IF(F590&gt;0,INDEX(caHellig,F590,1),""))</f>
        <v/>
      </c>
      <c r="I590" s="228">
        <f t="shared" ref="I590:I638" si="95">IF(C590="","",IF(OR(D590&gt;5,F590,0),1,0))</f>
        <v>0</v>
      </c>
      <c r="J590" s="228">
        <f t="shared" ref="J590:J638" si="96">IF(C590="","",IF(I590=0,J589+1,J589))</f>
        <v>399</v>
      </c>
      <c r="Q590" s="504">
        <f t="shared" ca="1" si="89"/>
        <v>44434</v>
      </c>
    </row>
    <row r="591" spans="2:17">
      <c r="B591" s="226" t="str">
        <f t="shared" si="90"/>
        <v/>
      </c>
      <c r="C591" s="227">
        <f t="shared" ref="C591:C638" si="97">C590+1</f>
        <v>44390</v>
      </c>
      <c r="D591" s="228">
        <f t="shared" ref="D591:D638" si="98">IF(C591&lt;&gt;"",WEEKDAY(C591,2),"")</f>
        <v>2</v>
      </c>
      <c r="E591" s="229">
        <f t="shared" si="91"/>
        <v>44390</v>
      </c>
      <c r="F591" s="228">
        <f t="shared" si="92"/>
        <v>0</v>
      </c>
      <c r="G591" s="230" t="str">
        <f t="shared" si="93"/>
        <v/>
      </c>
      <c r="H591" s="231" t="str">
        <f t="shared" si="94"/>
        <v/>
      </c>
      <c r="I591" s="228">
        <f t="shared" si="95"/>
        <v>0</v>
      </c>
      <c r="J591" s="228">
        <f t="shared" si="96"/>
        <v>400</v>
      </c>
      <c r="Q591" s="504">
        <f t="shared" ref="Q591:Q638" ca="1" si="99">Q590+1</f>
        <v>44435</v>
      </c>
    </row>
    <row r="592" spans="2:17">
      <c r="B592" s="226" t="str">
        <f t="shared" si="90"/>
        <v/>
      </c>
      <c r="C592" s="227">
        <f t="shared" si="97"/>
        <v>44391</v>
      </c>
      <c r="D592" s="228">
        <f t="shared" si="98"/>
        <v>3</v>
      </c>
      <c r="E592" s="229">
        <f t="shared" si="91"/>
        <v>44391</v>
      </c>
      <c r="F592" s="228">
        <f t="shared" si="92"/>
        <v>0</v>
      </c>
      <c r="G592" s="230" t="str">
        <f t="shared" si="93"/>
        <v/>
      </c>
      <c r="H592" s="231" t="str">
        <f t="shared" si="94"/>
        <v/>
      </c>
      <c r="I592" s="228">
        <f t="shared" si="95"/>
        <v>0</v>
      </c>
      <c r="J592" s="228">
        <f t="shared" si="96"/>
        <v>401</v>
      </c>
      <c r="Q592" s="504">
        <f t="shared" ca="1" si="99"/>
        <v>44436</v>
      </c>
    </row>
    <row r="593" spans="2:17">
      <c r="B593" s="226" t="str">
        <f t="shared" si="90"/>
        <v/>
      </c>
      <c r="C593" s="227">
        <f t="shared" si="97"/>
        <v>44392</v>
      </c>
      <c r="D593" s="228">
        <f t="shared" si="98"/>
        <v>4</v>
      </c>
      <c r="E593" s="229">
        <f t="shared" si="91"/>
        <v>44392</v>
      </c>
      <c r="F593" s="228">
        <f t="shared" si="92"/>
        <v>0</v>
      </c>
      <c r="G593" s="230" t="str">
        <f t="shared" si="93"/>
        <v/>
      </c>
      <c r="H593" s="231" t="str">
        <f t="shared" si="94"/>
        <v/>
      </c>
      <c r="I593" s="228">
        <f t="shared" si="95"/>
        <v>0</v>
      </c>
      <c r="J593" s="228">
        <f t="shared" si="96"/>
        <v>402</v>
      </c>
      <c r="Q593" s="504">
        <f t="shared" ca="1" si="99"/>
        <v>44437</v>
      </c>
    </row>
    <row r="594" spans="2:17">
      <c r="B594" s="226" t="str">
        <f t="shared" si="90"/>
        <v/>
      </c>
      <c r="C594" s="227">
        <f t="shared" si="97"/>
        <v>44393</v>
      </c>
      <c r="D594" s="228">
        <f t="shared" si="98"/>
        <v>5</v>
      </c>
      <c r="E594" s="229">
        <f t="shared" si="91"/>
        <v>44393</v>
      </c>
      <c r="F594" s="228">
        <f t="shared" si="92"/>
        <v>0</v>
      </c>
      <c r="G594" s="230" t="str">
        <f t="shared" si="93"/>
        <v/>
      </c>
      <c r="H594" s="231" t="str">
        <f t="shared" si="94"/>
        <v/>
      </c>
      <c r="I594" s="228">
        <f t="shared" si="95"/>
        <v>0</v>
      </c>
      <c r="J594" s="228">
        <f t="shared" si="96"/>
        <v>403</v>
      </c>
      <c r="Q594" s="504">
        <f t="shared" ca="1" si="99"/>
        <v>44438</v>
      </c>
    </row>
    <row r="595" spans="2:17">
      <c r="B595" s="226" t="str">
        <f t="shared" si="90"/>
        <v/>
      </c>
      <c r="C595" s="227">
        <f t="shared" si="97"/>
        <v>44394</v>
      </c>
      <c r="D595" s="228">
        <f t="shared" si="98"/>
        <v>6</v>
      </c>
      <c r="E595" s="229">
        <f t="shared" si="91"/>
        <v>44394</v>
      </c>
      <c r="F595" s="228">
        <f t="shared" si="92"/>
        <v>0</v>
      </c>
      <c r="G595" s="230" t="str">
        <f t="shared" si="93"/>
        <v/>
      </c>
      <c r="H595" s="231" t="str">
        <f t="shared" si="94"/>
        <v/>
      </c>
      <c r="I595" s="228">
        <f t="shared" si="95"/>
        <v>1</v>
      </c>
      <c r="J595" s="228">
        <f t="shared" si="96"/>
        <v>403</v>
      </c>
      <c r="Q595" s="504">
        <f t="shared" ca="1" si="99"/>
        <v>44439</v>
      </c>
    </row>
    <row r="596" spans="2:17">
      <c r="B596" s="226" t="str">
        <f t="shared" si="90"/>
        <v/>
      </c>
      <c r="C596" s="227">
        <f t="shared" si="97"/>
        <v>44395</v>
      </c>
      <c r="D596" s="228">
        <f t="shared" si="98"/>
        <v>7</v>
      </c>
      <c r="E596" s="229">
        <f t="shared" si="91"/>
        <v>44395</v>
      </c>
      <c r="F596" s="228">
        <f t="shared" si="92"/>
        <v>0</v>
      </c>
      <c r="G596" s="230" t="str">
        <f t="shared" si="93"/>
        <v/>
      </c>
      <c r="H596" s="231" t="str">
        <f t="shared" si="94"/>
        <v/>
      </c>
      <c r="I596" s="228">
        <f t="shared" si="95"/>
        <v>1</v>
      </c>
      <c r="J596" s="228">
        <f t="shared" si="96"/>
        <v>403</v>
      </c>
      <c r="Q596" s="504">
        <f t="shared" ca="1" si="99"/>
        <v>44440</v>
      </c>
    </row>
    <row r="597" spans="2:17">
      <c r="B597" s="226" t="str">
        <f t="shared" si="90"/>
        <v/>
      </c>
      <c r="C597" s="227">
        <f t="shared" si="97"/>
        <v>44396</v>
      </c>
      <c r="D597" s="228">
        <f t="shared" si="98"/>
        <v>1</v>
      </c>
      <c r="E597" s="229">
        <f t="shared" si="91"/>
        <v>44396</v>
      </c>
      <c r="F597" s="228">
        <f t="shared" si="92"/>
        <v>0</v>
      </c>
      <c r="G597" s="230" t="str">
        <f t="shared" si="93"/>
        <v/>
      </c>
      <c r="H597" s="231" t="str">
        <f t="shared" si="94"/>
        <v/>
      </c>
      <c r="I597" s="228">
        <f t="shared" si="95"/>
        <v>0</v>
      </c>
      <c r="J597" s="228">
        <f t="shared" si="96"/>
        <v>404</v>
      </c>
      <c r="Q597" s="504">
        <f t="shared" ca="1" si="99"/>
        <v>44441</v>
      </c>
    </row>
    <row r="598" spans="2:17">
      <c r="B598" s="226" t="str">
        <f t="shared" si="90"/>
        <v/>
      </c>
      <c r="C598" s="227">
        <f t="shared" si="97"/>
        <v>44397</v>
      </c>
      <c r="D598" s="228">
        <f t="shared" si="98"/>
        <v>2</v>
      </c>
      <c r="E598" s="229">
        <f t="shared" si="91"/>
        <v>44397</v>
      </c>
      <c r="F598" s="228">
        <f t="shared" si="92"/>
        <v>0</v>
      </c>
      <c r="G598" s="230" t="str">
        <f t="shared" si="93"/>
        <v/>
      </c>
      <c r="H598" s="231" t="str">
        <f t="shared" si="94"/>
        <v/>
      </c>
      <c r="I598" s="228">
        <f t="shared" si="95"/>
        <v>0</v>
      </c>
      <c r="J598" s="228">
        <f t="shared" si="96"/>
        <v>405</v>
      </c>
      <c r="Q598" s="504">
        <f t="shared" ca="1" si="99"/>
        <v>44442</v>
      </c>
    </row>
    <row r="599" spans="2:17">
      <c r="B599" s="226" t="str">
        <f t="shared" si="90"/>
        <v/>
      </c>
      <c r="C599" s="227">
        <f t="shared" si="97"/>
        <v>44398</v>
      </c>
      <c r="D599" s="228">
        <f t="shared" si="98"/>
        <v>3</v>
      </c>
      <c r="E599" s="229">
        <f t="shared" si="91"/>
        <v>44398</v>
      </c>
      <c r="F599" s="228">
        <f t="shared" si="92"/>
        <v>0</v>
      </c>
      <c r="G599" s="230" t="str">
        <f t="shared" si="93"/>
        <v/>
      </c>
      <c r="H599" s="231" t="str">
        <f t="shared" si="94"/>
        <v/>
      </c>
      <c r="I599" s="228">
        <f t="shared" si="95"/>
        <v>0</v>
      </c>
      <c r="J599" s="228">
        <f t="shared" si="96"/>
        <v>406</v>
      </c>
      <c r="Q599" s="504">
        <f t="shared" ca="1" si="99"/>
        <v>44443</v>
      </c>
    </row>
    <row r="600" spans="2:17">
      <c r="B600" s="226" t="str">
        <f t="shared" si="90"/>
        <v/>
      </c>
      <c r="C600" s="227">
        <f t="shared" si="97"/>
        <v>44399</v>
      </c>
      <c r="D600" s="228">
        <f t="shared" si="98"/>
        <v>4</v>
      </c>
      <c r="E600" s="229">
        <f t="shared" si="91"/>
        <v>44399</v>
      </c>
      <c r="F600" s="228">
        <f t="shared" si="92"/>
        <v>0</v>
      </c>
      <c r="G600" s="230" t="str">
        <f t="shared" si="93"/>
        <v/>
      </c>
      <c r="H600" s="231" t="str">
        <f t="shared" si="94"/>
        <v/>
      </c>
      <c r="I600" s="228">
        <f t="shared" si="95"/>
        <v>0</v>
      </c>
      <c r="J600" s="228">
        <f t="shared" si="96"/>
        <v>407</v>
      </c>
      <c r="Q600" s="504">
        <f t="shared" ca="1" si="99"/>
        <v>44444</v>
      </c>
    </row>
    <row r="601" spans="2:17">
      <c r="B601" s="226" t="str">
        <f t="shared" si="90"/>
        <v/>
      </c>
      <c r="C601" s="227">
        <f t="shared" si="97"/>
        <v>44400</v>
      </c>
      <c r="D601" s="228">
        <f t="shared" si="98"/>
        <v>5</v>
      </c>
      <c r="E601" s="229">
        <f t="shared" si="91"/>
        <v>44400</v>
      </c>
      <c r="F601" s="228">
        <f t="shared" si="92"/>
        <v>0</v>
      </c>
      <c r="G601" s="230" t="str">
        <f t="shared" si="93"/>
        <v/>
      </c>
      <c r="H601" s="231" t="str">
        <f t="shared" si="94"/>
        <v/>
      </c>
      <c r="I601" s="228">
        <f t="shared" si="95"/>
        <v>0</v>
      </c>
      <c r="J601" s="228">
        <f t="shared" si="96"/>
        <v>408</v>
      </c>
      <c r="Q601" s="504">
        <f t="shared" ca="1" si="99"/>
        <v>44445</v>
      </c>
    </row>
    <row r="602" spans="2:17">
      <c r="B602" s="226" t="str">
        <f t="shared" si="90"/>
        <v/>
      </c>
      <c r="C602" s="227">
        <f t="shared" si="97"/>
        <v>44401</v>
      </c>
      <c r="D602" s="228">
        <f t="shared" si="98"/>
        <v>6</v>
      </c>
      <c r="E602" s="229">
        <f t="shared" si="91"/>
        <v>44401</v>
      </c>
      <c r="F602" s="228">
        <f t="shared" si="92"/>
        <v>0</v>
      </c>
      <c r="G602" s="230" t="str">
        <f t="shared" si="93"/>
        <v/>
      </c>
      <c r="H602" s="231" t="str">
        <f t="shared" si="94"/>
        <v/>
      </c>
      <c r="I602" s="228">
        <f t="shared" si="95"/>
        <v>1</v>
      </c>
      <c r="J602" s="228">
        <f t="shared" si="96"/>
        <v>408</v>
      </c>
      <c r="Q602" s="504">
        <f t="shared" ca="1" si="99"/>
        <v>44446</v>
      </c>
    </row>
    <row r="603" spans="2:17">
      <c r="B603" s="226" t="str">
        <f t="shared" si="90"/>
        <v/>
      </c>
      <c r="C603" s="227">
        <f t="shared" si="97"/>
        <v>44402</v>
      </c>
      <c r="D603" s="228">
        <f t="shared" si="98"/>
        <v>7</v>
      </c>
      <c r="E603" s="229">
        <f t="shared" si="91"/>
        <v>44402</v>
      </c>
      <c r="F603" s="228">
        <f t="shared" si="92"/>
        <v>0</v>
      </c>
      <c r="G603" s="230" t="str">
        <f t="shared" si="93"/>
        <v/>
      </c>
      <c r="H603" s="231" t="str">
        <f t="shared" si="94"/>
        <v/>
      </c>
      <c r="I603" s="228">
        <f t="shared" si="95"/>
        <v>1</v>
      </c>
      <c r="J603" s="228">
        <f t="shared" si="96"/>
        <v>408</v>
      </c>
      <c r="Q603" s="504">
        <f t="shared" ca="1" si="99"/>
        <v>44447</v>
      </c>
    </row>
    <row r="604" spans="2:17">
      <c r="B604" s="226" t="str">
        <f t="shared" si="90"/>
        <v/>
      </c>
      <c r="C604" s="227">
        <f t="shared" si="97"/>
        <v>44403</v>
      </c>
      <c r="D604" s="228">
        <f t="shared" si="98"/>
        <v>1</v>
      </c>
      <c r="E604" s="229">
        <f t="shared" si="91"/>
        <v>44403</v>
      </c>
      <c r="F604" s="228">
        <f t="shared" si="92"/>
        <v>0</v>
      </c>
      <c r="G604" s="230" t="str">
        <f t="shared" si="93"/>
        <v/>
      </c>
      <c r="H604" s="231" t="str">
        <f t="shared" si="94"/>
        <v/>
      </c>
      <c r="I604" s="228">
        <f t="shared" si="95"/>
        <v>0</v>
      </c>
      <c r="J604" s="228">
        <f t="shared" si="96"/>
        <v>409</v>
      </c>
      <c r="Q604" s="504">
        <f t="shared" ca="1" si="99"/>
        <v>44448</v>
      </c>
    </row>
    <row r="605" spans="2:17">
      <c r="B605" s="226" t="str">
        <f t="shared" si="90"/>
        <v/>
      </c>
      <c r="C605" s="227">
        <f t="shared" si="97"/>
        <v>44404</v>
      </c>
      <c r="D605" s="228">
        <f t="shared" si="98"/>
        <v>2</v>
      </c>
      <c r="E605" s="229">
        <f t="shared" si="91"/>
        <v>44404</v>
      </c>
      <c r="F605" s="228">
        <f t="shared" si="92"/>
        <v>0</v>
      </c>
      <c r="G605" s="230" t="str">
        <f t="shared" si="93"/>
        <v/>
      </c>
      <c r="H605" s="231" t="str">
        <f t="shared" si="94"/>
        <v/>
      </c>
      <c r="I605" s="228">
        <f t="shared" si="95"/>
        <v>0</v>
      </c>
      <c r="J605" s="228">
        <f t="shared" si="96"/>
        <v>410</v>
      </c>
      <c r="Q605" s="504">
        <f t="shared" ca="1" si="99"/>
        <v>44449</v>
      </c>
    </row>
    <row r="606" spans="2:17">
      <c r="B606" s="226" t="str">
        <f t="shared" si="90"/>
        <v/>
      </c>
      <c r="C606" s="227">
        <f t="shared" si="97"/>
        <v>44405</v>
      </c>
      <c r="D606" s="228">
        <f t="shared" si="98"/>
        <v>3</v>
      </c>
      <c r="E606" s="229">
        <f t="shared" si="91"/>
        <v>44405</v>
      </c>
      <c r="F606" s="228">
        <f t="shared" si="92"/>
        <v>0</v>
      </c>
      <c r="G606" s="230" t="str">
        <f t="shared" si="93"/>
        <v/>
      </c>
      <c r="H606" s="231" t="str">
        <f t="shared" si="94"/>
        <v/>
      </c>
      <c r="I606" s="228">
        <f t="shared" si="95"/>
        <v>0</v>
      </c>
      <c r="J606" s="228">
        <f t="shared" si="96"/>
        <v>411</v>
      </c>
      <c r="Q606" s="504">
        <f t="shared" ca="1" si="99"/>
        <v>44450</v>
      </c>
    </row>
    <row r="607" spans="2:17">
      <c r="B607" s="226" t="str">
        <f t="shared" si="90"/>
        <v/>
      </c>
      <c r="C607" s="227">
        <f t="shared" si="97"/>
        <v>44406</v>
      </c>
      <c r="D607" s="228">
        <f t="shared" si="98"/>
        <v>4</v>
      </c>
      <c r="E607" s="229">
        <f t="shared" si="91"/>
        <v>44406</v>
      </c>
      <c r="F607" s="228">
        <f t="shared" si="92"/>
        <v>0</v>
      </c>
      <c r="G607" s="230" t="str">
        <f t="shared" si="93"/>
        <v/>
      </c>
      <c r="H607" s="231" t="str">
        <f t="shared" si="94"/>
        <v/>
      </c>
      <c r="I607" s="228">
        <f t="shared" si="95"/>
        <v>0</v>
      </c>
      <c r="J607" s="228">
        <f t="shared" si="96"/>
        <v>412</v>
      </c>
      <c r="Q607" s="504">
        <f t="shared" ca="1" si="99"/>
        <v>44451</v>
      </c>
    </row>
    <row r="608" spans="2:17">
      <c r="B608" s="226" t="str">
        <f t="shared" si="90"/>
        <v/>
      </c>
      <c r="C608" s="227">
        <f t="shared" si="97"/>
        <v>44407</v>
      </c>
      <c r="D608" s="228">
        <f t="shared" si="98"/>
        <v>5</v>
      </c>
      <c r="E608" s="229">
        <f t="shared" si="91"/>
        <v>44407</v>
      </c>
      <c r="F608" s="228">
        <f t="shared" si="92"/>
        <v>0</v>
      </c>
      <c r="G608" s="230" t="str">
        <f t="shared" si="93"/>
        <v/>
      </c>
      <c r="H608" s="231" t="str">
        <f t="shared" si="94"/>
        <v/>
      </c>
      <c r="I608" s="228">
        <f t="shared" si="95"/>
        <v>0</v>
      </c>
      <c r="J608" s="228">
        <f t="shared" si="96"/>
        <v>413</v>
      </c>
      <c r="Q608" s="504">
        <f t="shared" ca="1" si="99"/>
        <v>44452</v>
      </c>
    </row>
    <row r="609" spans="2:17">
      <c r="B609" s="226" t="str">
        <f t="shared" si="90"/>
        <v/>
      </c>
      <c r="C609" s="227">
        <f t="shared" si="97"/>
        <v>44408</v>
      </c>
      <c r="D609" s="228">
        <f t="shared" si="98"/>
        <v>6</v>
      </c>
      <c r="E609" s="229">
        <f t="shared" si="91"/>
        <v>44408</v>
      </c>
      <c r="F609" s="228">
        <f t="shared" si="92"/>
        <v>0</v>
      </c>
      <c r="G609" s="230" t="str">
        <f t="shared" si="93"/>
        <v/>
      </c>
      <c r="H609" s="231" t="str">
        <f t="shared" si="94"/>
        <v/>
      </c>
      <c r="I609" s="228">
        <f t="shared" si="95"/>
        <v>1</v>
      </c>
      <c r="J609" s="228">
        <f t="shared" si="96"/>
        <v>413</v>
      </c>
      <c r="Q609" s="504">
        <f t="shared" ca="1" si="99"/>
        <v>44453</v>
      </c>
    </row>
    <row r="610" spans="2:17">
      <c r="B610" s="226" t="str">
        <f t="shared" si="90"/>
        <v/>
      </c>
      <c r="C610" s="227">
        <f t="shared" si="97"/>
        <v>44409</v>
      </c>
      <c r="D610" s="228">
        <f t="shared" si="98"/>
        <v>7</v>
      </c>
      <c r="E610" s="229">
        <f t="shared" si="91"/>
        <v>44409</v>
      </c>
      <c r="F610" s="228">
        <f t="shared" si="92"/>
        <v>0</v>
      </c>
      <c r="G610" s="230" t="str">
        <f t="shared" si="93"/>
        <v/>
      </c>
      <c r="H610" s="231" t="str">
        <f t="shared" si="94"/>
        <v/>
      </c>
      <c r="I610" s="228">
        <f t="shared" si="95"/>
        <v>1</v>
      </c>
      <c r="J610" s="228">
        <f t="shared" si="96"/>
        <v>413</v>
      </c>
      <c r="Q610" s="504">
        <f t="shared" ca="1" si="99"/>
        <v>44454</v>
      </c>
    </row>
    <row r="611" spans="2:17">
      <c r="B611" s="226" t="str">
        <f t="shared" si="90"/>
        <v/>
      </c>
      <c r="C611" s="227">
        <f t="shared" si="97"/>
        <v>44410</v>
      </c>
      <c r="D611" s="228">
        <f t="shared" si="98"/>
        <v>1</v>
      </c>
      <c r="E611" s="229">
        <f t="shared" si="91"/>
        <v>44410</v>
      </c>
      <c r="F611" s="228">
        <f t="shared" si="92"/>
        <v>0</v>
      </c>
      <c r="G611" s="230" t="str">
        <f t="shared" si="93"/>
        <v/>
      </c>
      <c r="H611" s="231" t="str">
        <f t="shared" si="94"/>
        <v/>
      </c>
      <c r="I611" s="228">
        <f t="shared" si="95"/>
        <v>0</v>
      </c>
      <c r="J611" s="228">
        <f t="shared" si="96"/>
        <v>414</v>
      </c>
      <c r="Q611" s="504">
        <f t="shared" ca="1" si="99"/>
        <v>44455</v>
      </c>
    </row>
    <row r="612" spans="2:17">
      <c r="B612" s="226" t="str">
        <f t="shared" si="90"/>
        <v/>
      </c>
      <c r="C612" s="227">
        <f t="shared" si="97"/>
        <v>44411</v>
      </c>
      <c r="D612" s="228">
        <f t="shared" si="98"/>
        <v>2</v>
      </c>
      <c r="E612" s="229">
        <f t="shared" si="91"/>
        <v>44411</v>
      </c>
      <c r="F612" s="228">
        <f t="shared" si="92"/>
        <v>0</v>
      </c>
      <c r="G612" s="230" t="str">
        <f t="shared" si="93"/>
        <v/>
      </c>
      <c r="H612" s="231" t="str">
        <f t="shared" si="94"/>
        <v/>
      </c>
      <c r="I612" s="228">
        <f t="shared" si="95"/>
        <v>0</v>
      </c>
      <c r="J612" s="228">
        <f t="shared" si="96"/>
        <v>415</v>
      </c>
      <c r="Q612" s="504">
        <f t="shared" ca="1" si="99"/>
        <v>44456</v>
      </c>
    </row>
    <row r="613" spans="2:17">
      <c r="B613" s="226" t="str">
        <f t="shared" si="90"/>
        <v/>
      </c>
      <c r="C613" s="227">
        <f t="shared" si="97"/>
        <v>44412</v>
      </c>
      <c r="D613" s="228">
        <f t="shared" si="98"/>
        <v>3</v>
      </c>
      <c r="E613" s="229">
        <f t="shared" si="91"/>
        <v>44412</v>
      </c>
      <c r="F613" s="228">
        <f t="shared" si="92"/>
        <v>0</v>
      </c>
      <c r="G613" s="230" t="str">
        <f t="shared" si="93"/>
        <v/>
      </c>
      <c r="H613" s="231" t="str">
        <f t="shared" si="94"/>
        <v/>
      </c>
      <c r="I613" s="228">
        <f t="shared" si="95"/>
        <v>0</v>
      </c>
      <c r="J613" s="228">
        <f t="shared" si="96"/>
        <v>416</v>
      </c>
      <c r="Q613" s="504">
        <f t="shared" ca="1" si="99"/>
        <v>44457</v>
      </c>
    </row>
    <row r="614" spans="2:17">
      <c r="B614" s="226" t="str">
        <f t="shared" si="90"/>
        <v/>
      </c>
      <c r="C614" s="227">
        <f t="shared" si="97"/>
        <v>44413</v>
      </c>
      <c r="D614" s="228">
        <f t="shared" si="98"/>
        <v>4</v>
      </c>
      <c r="E614" s="229">
        <f t="shared" si="91"/>
        <v>44413</v>
      </c>
      <c r="F614" s="228">
        <f t="shared" si="92"/>
        <v>0</v>
      </c>
      <c r="G614" s="230" t="str">
        <f t="shared" si="93"/>
        <v/>
      </c>
      <c r="H614" s="231" t="str">
        <f t="shared" si="94"/>
        <v/>
      </c>
      <c r="I614" s="228">
        <f t="shared" si="95"/>
        <v>0</v>
      </c>
      <c r="J614" s="228">
        <f t="shared" si="96"/>
        <v>417</v>
      </c>
      <c r="Q614" s="504">
        <f t="shared" ca="1" si="99"/>
        <v>44458</v>
      </c>
    </row>
    <row r="615" spans="2:17">
      <c r="B615" s="226" t="str">
        <f t="shared" si="90"/>
        <v/>
      </c>
      <c r="C615" s="227">
        <f t="shared" si="97"/>
        <v>44414</v>
      </c>
      <c r="D615" s="228">
        <f t="shared" si="98"/>
        <v>5</v>
      </c>
      <c r="E615" s="229">
        <f t="shared" si="91"/>
        <v>44414</v>
      </c>
      <c r="F615" s="228">
        <f t="shared" si="92"/>
        <v>0</v>
      </c>
      <c r="G615" s="230" t="str">
        <f t="shared" si="93"/>
        <v/>
      </c>
      <c r="H615" s="231" t="str">
        <f t="shared" si="94"/>
        <v/>
      </c>
      <c r="I615" s="228">
        <f t="shared" si="95"/>
        <v>0</v>
      </c>
      <c r="J615" s="228">
        <f t="shared" si="96"/>
        <v>418</v>
      </c>
      <c r="Q615" s="504">
        <f t="shared" ca="1" si="99"/>
        <v>44459</v>
      </c>
    </row>
    <row r="616" spans="2:17">
      <c r="B616" s="226" t="str">
        <f t="shared" si="90"/>
        <v/>
      </c>
      <c r="C616" s="227">
        <f t="shared" si="97"/>
        <v>44415</v>
      </c>
      <c r="D616" s="228">
        <f t="shared" si="98"/>
        <v>6</v>
      </c>
      <c r="E616" s="229">
        <f t="shared" si="91"/>
        <v>44415</v>
      </c>
      <c r="F616" s="228">
        <f t="shared" si="92"/>
        <v>0</v>
      </c>
      <c r="G616" s="230" t="str">
        <f t="shared" si="93"/>
        <v/>
      </c>
      <c r="H616" s="231" t="str">
        <f t="shared" si="94"/>
        <v/>
      </c>
      <c r="I616" s="228">
        <f t="shared" si="95"/>
        <v>1</v>
      </c>
      <c r="J616" s="228">
        <f t="shared" si="96"/>
        <v>418</v>
      </c>
      <c r="Q616" s="504">
        <f t="shared" ca="1" si="99"/>
        <v>44460</v>
      </c>
    </row>
    <row r="617" spans="2:17">
      <c r="B617" s="226" t="str">
        <f t="shared" si="90"/>
        <v/>
      </c>
      <c r="C617" s="227">
        <f t="shared" si="97"/>
        <v>44416</v>
      </c>
      <c r="D617" s="228">
        <f t="shared" si="98"/>
        <v>7</v>
      </c>
      <c r="E617" s="229">
        <f t="shared" si="91"/>
        <v>44416</v>
      </c>
      <c r="F617" s="228">
        <f t="shared" si="92"/>
        <v>0</v>
      </c>
      <c r="G617" s="230" t="str">
        <f t="shared" si="93"/>
        <v/>
      </c>
      <c r="H617" s="231" t="str">
        <f t="shared" si="94"/>
        <v/>
      </c>
      <c r="I617" s="228">
        <f t="shared" si="95"/>
        <v>1</v>
      </c>
      <c r="J617" s="228">
        <f t="shared" si="96"/>
        <v>418</v>
      </c>
      <c r="Q617" s="504">
        <f t="shared" ca="1" si="99"/>
        <v>44461</v>
      </c>
    </row>
    <row r="618" spans="2:17">
      <c r="B618" s="226" t="str">
        <f t="shared" si="90"/>
        <v/>
      </c>
      <c r="C618" s="227">
        <f t="shared" si="97"/>
        <v>44417</v>
      </c>
      <c r="D618" s="228">
        <f t="shared" si="98"/>
        <v>1</v>
      </c>
      <c r="E618" s="229">
        <f t="shared" si="91"/>
        <v>44417</v>
      </c>
      <c r="F618" s="228">
        <f t="shared" si="92"/>
        <v>0</v>
      </c>
      <c r="G618" s="230" t="str">
        <f t="shared" si="93"/>
        <v/>
      </c>
      <c r="H618" s="231" t="str">
        <f t="shared" si="94"/>
        <v/>
      </c>
      <c r="I618" s="228">
        <f t="shared" si="95"/>
        <v>0</v>
      </c>
      <c r="J618" s="228">
        <f t="shared" si="96"/>
        <v>419</v>
      </c>
      <c r="Q618" s="504">
        <f t="shared" ca="1" si="99"/>
        <v>44462</v>
      </c>
    </row>
    <row r="619" spans="2:17">
      <c r="B619" s="226" t="str">
        <f t="shared" si="90"/>
        <v/>
      </c>
      <c r="C619" s="227">
        <f t="shared" si="97"/>
        <v>44418</v>
      </c>
      <c r="D619" s="228">
        <f t="shared" si="98"/>
        <v>2</v>
      </c>
      <c r="E619" s="229">
        <f t="shared" si="91"/>
        <v>44418</v>
      </c>
      <c r="F619" s="228">
        <f t="shared" si="92"/>
        <v>0</v>
      </c>
      <c r="G619" s="230" t="str">
        <f t="shared" si="93"/>
        <v/>
      </c>
      <c r="H619" s="231" t="str">
        <f t="shared" si="94"/>
        <v/>
      </c>
      <c r="I619" s="228">
        <f t="shared" si="95"/>
        <v>0</v>
      </c>
      <c r="J619" s="228">
        <f t="shared" si="96"/>
        <v>420</v>
      </c>
      <c r="Q619" s="504">
        <f t="shared" ca="1" si="99"/>
        <v>44463</v>
      </c>
    </row>
    <row r="620" spans="2:17">
      <c r="B620" s="226" t="str">
        <f t="shared" si="90"/>
        <v/>
      </c>
      <c r="C620" s="227">
        <f t="shared" si="97"/>
        <v>44419</v>
      </c>
      <c r="D620" s="228">
        <f t="shared" si="98"/>
        <v>3</v>
      </c>
      <c r="E620" s="229">
        <f t="shared" si="91"/>
        <v>44419</v>
      </c>
      <c r="F620" s="228">
        <f t="shared" si="92"/>
        <v>0</v>
      </c>
      <c r="G620" s="230" t="str">
        <f t="shared" si="93"/>
        <v/>
      </c>
      <c r="H620" s="231" t="str">
        <f t="shared" si="94"/>
        <v/>
      </c>
      <c r="I620" s="228">
        <f t="shared" si="95"/>
        <v>0</v>
      </c>
      <c r="J620" s="228">
        <f t="shared" si="96"/>
        <v>421</v>
      </c>
      <c r="Q620" s="504">
        <f t="shared" ca="1" si="99"/>
        <v>44464</v>
      </c>
    </row>
    <row r="621" spans="2:17">
      <c r="B621" s="226" t="str">
        <f t="shared" si="90"/>
        <v/>
      </c>
      <c r="C621" s="227">
        <f t="shared" si="97"/>
        <v>44420</v>
      </c>
      <c r="D621" s="228">
        <f t="shared" si="98"/>
        <v>4</v>
      </c>
      <c r="E621" s="229">
        <f t="shared" si="91"/>
        <v>44420</v>
      </c>
      <c r="F621" s="228">
        <f t="shared" si="92"/>
        <v>0</v>
      </c>
      <c r="G621" s="230" t="str">
        <f t="shared" si="93"/>
        <v/>
      </c>
      <c r="H621" s="231" t="str">
        <f t="shared" si="94"/>
        <v/>
      </c>
      <c r="I621" s="228">
        <f t="shared" si="95"/>
        <v>0</v>
      </c>
      <c r="J621" s="228">
        <f t="shared" si="96"/>
        <v>422</v>
      </c>
      <c r="Q621" s="504">
        <f t="shared" ca="1" si="99"/>
        <v>44465</v>
      </c>
    </row>
    <row r="622" spans="2:17">
      <c r="B622" s="226" t="str">
        <f t="shared" si="90"/>
        <v/>
      </c>
      <c r="C622" s="227">
        <f t="shared" si="97"/>
        <v>44421</v>
      </c>
      <c r="D622" s="228">
        <f t="shared" si="98"/>
        <v>5</v>
      </c>
      <c r="E622" s="229">
        <f t="shared" si="91"/>
        <v>44421</v>
      </c>
      <c r="F622" s="228">
        <f t="shared" si="92"/>
        <v>0</v>
      </c>
      <c r="G622" s="230" t="str">
        <f t="shared" si="93"/>
        <v/>
      </c>
      <c r="H622" s="231" t="str">
        <f t="shared" si="94"/>
        <v/>
      </c>
      <c r="I622" s="228">
        <f t="shared" si="95"/>
        <v>0</v>
      </c>
      <c r="J622" s="228">
        <f t="shared" si="96"/>
        <v>423</v>
      </c>
      <c r="Q622" s="504">
        <f t="shared" ca="1" si="99"/>
        <v>44466</v>
      </c>
    </row>
    <row r="623" spans="2:17">
      <c r="B623" s="226" t="str">
        <f t="shared" si="90"/>
        <v/>
      </c>
      <c r="C623" s="227">
        <f t="shared" si="97"/>
        <v>44422</v>
      </c>
      <c r="D623" s="228">
        <f t="shared" si="98"/>
        <v>6</v>
      </c>
      <c r="E623" s="229">
        <f t="shared" si="91"/>
        <v>44422</v>
      </c>
      <c r="F623" s="228">
        <f t="shared" si="92"/>
        <v>0</v>
      </c>
      <c r="G623" s="230" t="str">
        <f t="shared" si="93"/>
        <v/>
      </c>
      <c r="H623" s="231" t="str">
        <f t="shared" si="94"/>
        <v/>
      </c>
      <c r="I623" s="228">
        <f t="shared" si="95"/>
        <v>1</v>
      </c>
      <c r="J623" s="228">
        <f t="shared" si="96"/>
        <v>423</v>
      </c>
      <c r="Q623" s="504">
        <f t="shared" ca="1" si="99"/>
        <v>44467</v>
      </c>
    </row>
    <row r="624" spans="2:17">
      <c r="B624" s="226" t="str">
        <f t="shared" si="90"/>
        <v/>
      </c>
      <c r="C624" s="227">
        <f t="shared" si="97"/>
        <v>44423</v>
      </c>
      <c r="D624" s="228">
        <f t="shared" si="98"/>
        <v>7</v>
      </c>
      <c r="E624" s="229">
        <f t="shared" si="91"/>
        <v>44423</v>
      </c>
      <c r="F624" s="228">
        <f t="shared" si="92"/>
        <v>0</v>
      </c>
      <c r="G624" s="230" t="str">
        <f t="shared" si="93"/>
        <v/>
      </c>
      <c r="H624" s="231" t="str">
        <f t="shared" si="94"/>
        <v/>
      </c>
      <c r="I624" s="228">
        <f t="shared" si="95"/>
        <v>1</v>
      </c>
      <c r="J624" s="228">
        <f t="shared" si="96"/>
        <v>423</v>
      </c>
      <c r="Q624" s="504">
        <f t="shared" ca="1" si="99"/>
        <v>44468</v>
      </c>
    </row>
    <row r="625" spans="2:17">
      <c r="B625" s="226" t="str">
        <f t="shared" si="90"/>
        <v/>
      </c>
      <c r="C625" s="227">
        <f t="shared" si="97"/>
        <v>44424</v>
      </c>
      <c r="D625" s="228">
        <f t="shared" si="98"/>
        <v>1</v>
      </c>
      <c r="E625" s="229">
        <f t="shared" si="91"/>
        <v>44424</v>
      </c>
      <c r="F625" s="228">
        <f t="shared" si="92"/>
        <v>0</v>
      </c>
      <c r="G625" s="230" t="str">
        <f t="shared" si="93"/>
        <v/>
      </c>
      <c r="H625" s="231" t="str">
        <f t="shared" si="94"/>
        <v/>
      </c>
      <c r="I625" s="228">
        <f t="shared" si="95"/>
        <v>0</v>
      </c>
      <c r="J625" s="228">
        <f t="shared" si="96"/>
        <v>424</v>
      </c>
      <c r="Q625" s="504">
        <f t="shared" ca="1" si="99"/>
        <v>44469</v>
      </c>
    </row>
    <row r="626" spans="2:17">
      <c r="B626" s="226" t="str">
        <f t="shared" si="90"/>
        <v/>
      </c>
      <c r="C626" s="227">
        <f t="shared" si="97"/>
        <v>44425</v>
      </c>
      <c r="D626" s="228">
        <f t="shared" si="98"/>
        <v>2</v>
      </c>
      <c r="E626" s="229">
        <f t="shared" si="91"/>
        <v>44425</v>
      </c>
      <c r="F626" s="228">
        <f t="shared" si="92"/>
        <v>0</v>
      </c>
      <c r="G626" s="230" t="str">
        <f t="shared" si="93"/>
        <v/>
      </c>
      <c r="H626" s="231" t="str">
        <f t="shared" si="94"/>
        <v/>
      </c>
      <c r="I626" s="228">
        <f t="shared" si="95"/>
        <v>0</v>
      </c>
      <c r="J626" s="228">
        <f t="shared" si="96"/>
        <v>425</v>
      </c>
      <c r="Q626" s="504">
        <f t="shared" ca="1" si="99"/>
        <v>44470</v>
      </c>
    </row>
    <row r="627" spans="2:17">
      <c r="B627" s="226" t="str">
        <f t="shared" si="90"/>
        <v/>
      </c>
      <c r="C627" s="227">
        <f t="shared" si="97"/>
        <v>44426</v>
      </c>
      <c r="D627" s="228">
        <f t="shared" si="98"/>
        <v>3</v>
      </c>
      <c r="E627" s="229">
        <f t="shared" si="91"/>
        <v>44426</v>
      </c>
      <c r="F627" s="228">
        <f t="shared" si="92"/>
        <v>0</v>
      </c>
      <c r="G627" s="230" t="str">
        <f t="shared" si="93"/>
        <v/>
      </c>
      <c r="H627" s="231" t="str">
        <f t="shared" si="94"/>
        <v/>
      </c>
      <c r="I627" s="228">
        <f t="shared" si="95"/>
        <v>0</v>
      </c>
      <c r="J627" s="228">
        <f t="shared" si="96"/>
        <v>426</v>
      </c>
      <c r="Q627" s="504">
        <f t="shared" ca="1" si="99"/>
        <v>44471</v>
      </c>
    </row>
    <row r="628" spans="2:17">
      <c r="B628" s="226" t="str">
        <f t="shared" si="90"/>
        <v/>
      </c>
      <c r="C628" s="227">
        <f t="shared" si="97"/>
        <v>44427</v>
      </c>
      <c r="D628" s="228">
        <f t="shared" si="98"/>
        <v>4</v>
      </c>
      <c r="E628" s="229">
        <f t="shared" si="91"/>
        <v>44427</v>
      </c>
      <c r="F628" s="228">
        <f t="shared" si="92"/>
        <v>0</v>
      </c>
      <c r="G628" s="230" t="str">
        <f t="shared" si="93"/>
        <v/>
      </c>
      <c r="H628" s="231" t="str">
        <f t="shared" si="94"/>
        <v/>
      </c>
      <c r="I628" s="228">
        <f t="shared" si="95"/>
        <v>0</v>
      </c>
      <c r="J628" s="228">
        <f t="shared" si="96"/>
        <v>427</v>
      </c>
      <c r="Q628" s="504">
        <f t="shared" ca="1" si="99"/>
        <v>44472</v>
      </c>
    </row>
    <row r="629" spans="2:17">
      <c r="B629" s="226" t="str">
        <f t="shared" si="90"/>
        <v/>
      </c>
      <c r="C629" s="227">
        <f t="shared" si="97"/>
        <v>44428</v>
      </c>
      <c r="D629" s="228">
        <f t="shared" si="98"/>
        <v>5</v>
      </c>
      <c r="E629" s="229">
        <f t="shared" si="91"/>
        <v>44428</v>
      </c>
      <c r="F629" s="228">
        <f t="shared" si="92"/>
        <v>0</v>
      </c>
      <c r="G629" s="230" t="str">
        <f t="shared" si="93"/>
        <v/>
      </c>
      <c r="H629" s="231" t="str">
        <f t="shared" si="94"/>
        <v/>
      </c>
      <c r="I629" s="228">
        <f t="shared" si="95"/>
        <v>0</v>
      </c>
      <c r="J629" s="228">
        <f t="shared" si="96"/>
        <v>428</v>
      </c>
      <c r="Q629" s="504">
        <f t="shared" ca="1" si="99"/>
        <v>44473</v>
      </c>
    </row>
    <row r="630" spans="2:17">
      <c r="B630" s="226" t="str">
        <f t="shared" si="90"/>
        <v/>
      </c>
      <c r="C630" s="227">
        <f t="shared" si="97"/>
        <v>44429</v>
      </c>
      <c r="D630" s="228">
        <f t="shared" si="98"/>
        <v>6</v>
      </c>
      <c r="E630" s="229">
        <f t="shared" si="91"/>
        <v>44429</v>
      </c>
      <c r="F630" s="228">
        <f t="shared" si="92"/>
        <v>0</v>
      </c>
      <c r="G630" s="230" t="str">
        <f t="shared" si="93"/>
        <v/>
      </c>
      <c r="H630" s="231" t="str">
        <f t="shared" si="94"/>
        <v/>
      </c>
      <c r="I630" s="228">
        <f t="shared" si="95"/>
        <v>1</v>
      </c>
      <c r="J630" s="228">
        <f t="shared" si="96"/>
        <v>428</v>
      </c>
      <c r="Q630" s="504">
        <f t="shared" ca="1" si="99"/>
        <v>44474</v>
      </c>
    </row>
    <row r="631" spans="2:17">
      <c r="B631" s="226" t="str">
        <f t="shared" si="90"/>
        <v/>
      </c>
      <c r="C631" s="227">
        <f t="shared" si="97"/>
        <v>44430</v>
      </c>
      <c r="D631" s="228">
        <f t="shared" si="98"/>
        <v>7</v>
      </c>
      <c r="E631" s="229">
        <f t="shared" si="91"/>
        <v>44430</v>
      </c>
      <c r="F631" s="228">
        <f t="shared" si="92"/>
        <v>0</v>
      </c>
      <c r="G631" s="230" t="str">
        <f t="shared" si="93"/>
        <v/>
      </c>
      <c r="H631" s="231" t="str">
        <f t="shared" si="94"/>
        <v/>
      </c>
      <c r="I631" s="228">
        <f t="shared" si="95"/>
        <v>1</v>
      </c>
      <c r="J631" s="228">
        <f t="shared" si="96"/>
        <v>428</v>
      </c>
      <c r="Q631" s="504">
        <f t="shared" ca="1" si="99"/>
        <v>44475</v>
      </c>
    </row>
    <row r="632" spans="2:17">
      <c r="B632" s="226" t="str">
        <f t="shared" si="90"/>
        <v/>
      </c>
      <c r="C632" s="227">
        <f t="shared" si="97"/>
        <v>44431</v>
      </c>
      <c r="D632" s="228">
        <f t="shared" si="98"/>
        <v>1</v>
      </c>
      <c r="E632" s="229">
        <f t="shared" si="91"/>
        <v>44431</v>
      </c>
      <c r="F632" s="228">
        <f t="shared" si="92"/>
        <v>0</v>
      </c>
      <c r="G632" s="230" t="str">
        <f t="shared" si="93"/>
        <v/>
      </c>
      <c r="H632" s="231" t="str">
        <f t="shared" si="94"/>
        <v/>
      </c>
      <c r="I632" s="228">
        <f t="shared" si="95"/>
        <v>0</v>
      </c>
      <c r="J632" s="228">
        <f t="shared" si="96"/>
        <v>429</v>
      </c>
      <c r="Q632" s="504">
        <f t="shared" ca="1" si="99"/>
        <v>44476</v>
      </c>
    </row>
    <row r="633" spans="2:17">
      <c r="B633" s="226" t="str">
        <f t="shared" si="90"/>
        <v/>
      </c>
      <c r="C633" s="227">
        <f t="shared" si="97"/>
        <v>44432</v>
      </c>
      <c r="D633" s="228">
        <f t="shared" si="98"/>
        <v>2</v>
      </c>
      <c r="E633" s="229">
        <f t="shared" si="91"/>
        <v>44432</v>
      </c>
      <c r="F633" s="228">
        <f t="shared" si="92"/>
        <v>0</v>
      </c>
      <c r="G633" s="230" t="str">
        <f t="shared" si="93"/>
        <v/>
      </c>
      <c r="H633" s="231" t="str">
        <f t="shared" si="94"/>
        <v/>
      </c>
      <c r="I633" s="228">
        <f t="shared" si="95"/>
        <v>0</v>
      </c>
      <c r="J633" s="228">
        <f t="shared" si="96"/>
        <v>430</v>
      </c>
      <c r="Q633" s="504">
        <f t="shared" ca="1" si="99"/>
        <v>44477</v>
      </c>
    </row>
    <row r="634" spans="2:17">
      <c r="B634" s="226" t="str">
        <f t="shared" si="90"/>
        <v/>
      </c>
      <c r="C634" s="227">
        <f t="shared" si="97"/>
        <v>44433</v>
      </c>
      <c r="D634" s="228">
        <f t="shared" si="98"/>
        <v>3</v>
      </c>
      <c r="E634" s="229">
        <f t="shared" si="91"/>
        <v>44433</v>
      </c>
      <c r="F634" s="228">
        <f t="shared" si="92"/>
        <v>0</v>
      </c>
      <c r="G634" s="230" t="str">
        <f t="shared" si="93"/>
        <v/>
      </c>
      <c r="H634" s="231" t="str">
        <f t="shared" si="94"/>
        <v/>
      </c>
      <c r="I634" s="228">
        <f t="shared" si="95"/>
        <v>0</v>
      </c>
      <c r="J634" s="228">
        <f t="shared" si="96"/>
        <v>431</v>
      </c>
      <c r="Q634" s="504">
        <f t="shared" ca="1" si="99"/>
        <v>44478</v>
      </c>
    </row>
    <row r="635" spans="2:17">
      <c r="B635" s="226" t="str">
        <f t="shared" si="90"/>
        <v/>
      </c>
      <c r="C635" s="227">
        <f t="shared" si="97"/>
        <v>44434</v>
      </c>
      <c r="D635" s="228">
        <f t="shared" si="98"/>
        <v>4</v>
      </c>
      <c r="E635" s="229">
        <f t="shared" si="91"/>
        <v>44434</v>
      </c>
      <c r="F635" s="228">
        <f t="shared" si="92"/>
        <v>0</v>
      </c>
      <c r="G635" s="230" t="str">
        <f t="shared" si="93"/>
        <v/>
      </c>
      <c r="H635" s="231" t="str">
        <f t="shared" si="94"/>
        <v/>
      </c>
      <c r="I635" s="228">
        <f t="shared" si="95"/>
        <v>0</v>
      </c>
      <c r="J635" s="228">
        <f t="shared" si="96"/>
        <v>432</v>
      </c>
      <c r="Q635" s="504">
        <f t="shared" ca="1" si="99"/>
        <v>44479</v>
      </c>
    </row>
    <row r="636" spans="2:17">
      <c r="B636" s="226" t="str">
        <f t="shared" si="90"/>
        <v/>
      </c>
      <c r="C636" s="227">
        <f t="shared" si="97"/>
        <v>44435</v>
      </c>
      <c r="D636" s="228">
        <f t="shared" si="98"/>
        <v>5</v>
      </c>
      <c r="E636" s="229">
        <f t="shared" si="91"/>
        <v>44435</v>
      </c>
      <c r="F636" s="228">
        <f t="shared" si="92"/>
        <v>0</v>
      </c>
      <c r="G636" s="230" t="str">
        <f t="shared" si="93"/>
        <v/>
      </c>
      <c r="H636" s="231" t="str">
        <f t="shared" si="94"/>
        <v/>
      </c>
      <c r="I636" s="228">
        <f t="shared" si="95"/>
        <v>0</v>
      </c>
      <c r="J636" s="228">
        <f t="shared" si="96"/>
        <v>433</v>
      </c>
      <c r="Q636" s="504">
        <f t="shared" ca="1" si="99"/>
        <v>44480</v>
      </c>
    </row>
    <row r="637" spans="2:17">
      <c r="B637" s="226" t="str">
        <f t="shared" si="90"/>
        <v/>
      </c>
      <c r="C637" s="227">
        <f t="shared" si="97"/>
        <v>44436</v>
      </c>
      <c r="D637" s="228">
        <f t="shared" si="98"/>
        <v>6</v>
      </c>
      <c r="E637" s="229">
        <f t="shared" si="91"/>
        <v>44436</v>
      </c>
      <c r="F637" s="228">
        <f t="shared" si="92"/>
        <v>0</v>
      </c>
      <c r="G637" s="230" t="str">
        <f t="shared" si="93"/>
        <v/>
      </c>
      <c r="H637" s="231" t="str">
        <f t="shared" si="94"/>
        <v/>
      </c>
      <c r="I637" s="228">
        <f t="shared" si="95"/>
        <v>1</v>
      </c>
      <c r="J637" s="228">
        <f t="shared" si="96"/>
        <v>433</v>
      </c>
      <c r="Q637" s="504">
        <f t="shared" ca="1" si="99"/>
        <v>44481</v>
      </c>
    </row>
    <row r="638" spans="2:17">
      <c r="B638" s="226" t="str">
        <f t="shared" si="90"/>
        <v/>
      </c>
      <c r="C638" s="227">
        <f t="shared" si="97"/>
        <v>44437</v>
      </c>
      <c r="D638" s="228">
        <f t="shared" si="98"/>
        <v>7</v>
      </c>
      <c r="E638" s="229">
        <f t="shared" si="91"/>
        <v>44437</v>
      </c>
      <c r="F638" s="228">
        <f t="shared" si="92"/>
        <v>0</v>
      </c>
      <c r="G638" s="230" t="str">
        <f t="shared" si="93"/>
        <v/>
      </c>
      <c r="H638" s="231" t="str">
        <f t="shared" si="94"/>
        <v/>
      </c>
      <c r="I638" s="228">
        <f t="shared" si="95"/>
        <v>1</v>
      </c>
      <c r="J638" s="228">
        <f t="shared" si="96"/>
        <v>433</v>
      </c>
      <c r="Q638" s="504">
        <f t="shared" ca="1" si="99"/>
        <v>44482</v>
      </c>
    </row>
  </sheetData>
  <sheetProtection insertHyperlinks="0"/>
  <conditionalFormatting sqref="I13">
    <cfRule type="cellIs" dxfId="1" priority="2" operator="equal">
      <formula>1</formula>
    </cfRule>
  </conditionalFormatting>
  <conditionalFormatting sqref="I14:I638">
    <cfRule type="cellIs" dxfId="0" priority="1" operator="equal">
      <formula>1</formula>
    </cfRule>
  </conditionalFormatting>
  <pageMargins left="0.7" right="0.7" top="0.75" bottom="0.75" header="0.3" footer="0.3"/>
  <pageSetup paperSize="9" orientation="portrait" horizontalDpi="4294967293" r:id="rId1"/>
  <legacyDrawing r:id="rId2"/>
</worksheet>
</file>

<file path=customUI/_rels/customUI14.xml.rels><?xml version="1.0" encoding="UTF-8" standalone="yes"?>
<Relationships xmlns="http://schemas.openxmlformats.org/package/2006/relationships"><Relationship Id="Redo" Type="http://schemas.openxmlformats.org/officeDocument/2006/relationships/image" Target="images/Redo.png"/><Relationship Id="Undo" Type="http://schemas.openxmlformats.org/officeDocument/2006/relationships/image" Target="images/Undo.png"/></Relationships>
</file>

<file path=customUI/customUI14.xml><?xml version="1.0" encoding="utf-8"?>
<!-- Created with IDBE RibbonCreator 2010 (Version: 1.1017) -->
<!--                http://www.RibbonCreator2010.com               -->
<!--                 http://www.RibbonCreator2010.de               -->
<customUI xmlns="http://schemas.microsoft.com/office/2009/07/customui" onLoad="SK_ribLoad">
  <commands>
    <command idMso="Help" enabled="true"/>
    <command idMso="WindowClose" enabled="true"/>
    <command idMso="WindowRestore" enabled="true"/>
    <command idMso="WindowMinimize" enabled="true"/>
    <command idMso="ApplicationOptionsDialog" enabled="true"/>
    <command idMso="FileExit" enabled="true"/>
    <command idMso="Paste" getEnabled="SK_GetEnabled"/>
    <command idMso="PasteGallery" getEnabled="SK_GetEnabled"/>
    <command idMso="PasteSpecialDialog" getEnabled="SK_GetEnabled"/>
    <command idMso="PasteFormatting" getEnabled="SK_GetEnabled"/>
  </commands>
  <ribbon startFromScratch="false">
    <tabs>
      <tab id="tabSK" label="Norske produksjonsnormer" getVisible="SK_GetVisible">
        <group id="grpDokument" label="Dokument" getVisible="SK_GetVisible">
          <button id="btnSK_DokLukk" size="large" label="Avslutt" imageMso="GroupColorModeClose" onAction="SK_btnClick" getVisible="SK_GetVisible" getEnabled="SK_GetEnabled"/>
          <separator id="sep_113" getVisible="SK_GetVisible"/>
          <button id="btnSK_DokLagre" size="large" label="Lagre" imageMso="FileSave" onAction="SK_btnClick" getVisible="SK_GetVisible" getEnabled="SK_GetEnabled"/>
          <separator id="sep_114" getVisible="SK_GetVisible"/>
          <button id="btnSK_DokSkrivUt" size="large" label="Skriv ut" imageMso="FilePrintPreview" onAction="SK_btnClick" getVisible="SK_GetVisible" getEnabled="SK_GetEnabled"/>
          <separator id="sep_115" getVisible="SK_GetVisible"/>
          <button id="btnSK_Undo" size="large" label="Angre" imageMso="Undo" onAction="SK_btnClick" getVisible="SK_GetVisible" getEnabled="SK_GetEnabled"/>
          <separator id="sep_116" getVisible="SK_GetVisible"/>
          <button id="btnSK_Redo" size="large" label="Gjør om" imageMso="Redo" onAction="SK_btnClick" getVisible="SK_GetVisible" getEnabled="SK_GetEnabled"/>
        </group>
        <group id="grpVis" label="Vis" getVisible="SK_GetVisible">
          <dynamicMenu id="dymBehArk" size="large" invalidateContentOnDrop="true" label="Gå til" imageMso="DatasheetView" getVisible="SK_GetVisible" getEnabled="SK_GetEnabled" getContent="SK_GetContent" screentip="screentip" supertip="Supertip"/>
        </group>
      </tab>
      <tab idMso="TabHome" getVisible="SK_GetVisible"/>
      <tab idMso="TabInsert" getVisible="SK_GetVisible"/>
      <tab idMso="TabPageLayoutExcel" getVisible="SK_GetVisible"/>
      <tab idMso="TabFormulas" getVisible="SK_GetVisible"/>
      <tab idMso="TabData" getVisible="SK_GetVisible"/>
      <tab idMso="TabReview" getVisible="SK_GetVisible"/>
      <tab idMso="TabView" getVisible="SK_GetVisible"/>
      <tab idMso="TabDeveloper" getVisible="SK_GetVisible"/>
      <tab idMso="TabAddIns" getVisible="SK_GetVisible"/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EAA03E1F159934AAF9A19F27AFC1CA2" ma:contentTypeVersion="10" ma:contentTypeDescription="Opprett et nytt dokument." ma:contentTypeScope="" ma:versionID="11bc8c2fb6078449b111728ef78778bd">
  <xsd:schema xmlns:xsd="http://www.w3.org/2001/XMLSchema" xmlns:xs="http://www.w3.org/2001/XMLSchema" xmlns:p="http://schemas.microsoft.com/office/2006/metadata/properties" xmlns:ns2="1f51c0da-0117-4b3d-9dbb-cdd690669f83" xmlns:ns3="79a4928c-8232-4183-a46c-5cf2754c1502" targetNamespace="http://schemas.microsoft.com/office/2006/metadata/properties" ma:root="true" ma:fieldsID="f15fc1659d85f3796935c8defa44c90c" ns2:_="" ns3:_="">
    <xsd:import namespace="1f51c0da-0117-4b3d-9dbb-cdd690669f83"/>
    <xsd:import namespace="79a4928c-8232-4183-a46c-5cf2754c1502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EventHashCode" minOccurs="0"/>
                <xsd:element ref="ns2:MediaServiceGenerationTime" minOccurs="0"/>
                <xsd:element ref="ns2:MediaServiceLocation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f51c0da-0117-4b3d-9dbb-cdd690669f8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2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9a4928c-8232-4183-a46c-5cf2754c1502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Delingsdetaljer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nholdstype"/>
        <xsd:element ref="dc:title" minOccurs="0" maxOccurs="1" ma:index="4" ma:displayName="Tit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E20638FA-9592-48ED-A6F8-CDF085F1C13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f51c0da-0117-4b3d-9dbb-cdd690669f83"/>
    <ds:schemaRef ds:uri="79a4928c-8232-4183-a46c-5cf2754c15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E3626BF-B2B4-40CB-89CB-41F1821C2609}">
  <ds:schemaRefs>
    <ds:schemaRef ds:uri="http://www.w3.org/2001/XMLSchema"/>
    <ds:schemaRef ds:uri="http://microsoft.data.visualization.Client.Excel/1.0"/>
  </ds:schemaRefs>
</ds:datastoreItem>
</file>

<file path=customXml/itemProps3.xml><?xml version="1.0" encoding="utf-8"?>
<ds:datastoreItem xmlns:ds="http://schemas.openxmlformats.org/officeDocument/2006/customXml" ds:itemID="{4673281B-3E13-42DD-86ED-27ADC0433625}">
  <ds:schemaRefs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1f51c0da-0117-4b3d-9dbb-cdd690669f83"/>
    <ds:schemaRef ds:uri="http://purl.org/dc/terms/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customXml/itemProps4.xml><?xml version="1.0" encoding="utf-8"?>
<ds:datastoreItem xmlns:ds="http://schemas.openxmlformats.org/officeDocument/2006/customXml" ds:itemID="{417A206B-9B1A-4EFA-B3EC-FE2BBDF5EEB1}">
  <ds:schemaRefs>
    <ds:schemaRef ds:uri="http://www.w3.org/2001/XMLSchema"/>
    <ds:schemaRef ds:uri="http://microsoft.data.visualization.engine.tours/1.0"/>
  </ds:schemaRefs>
</ds:datastoreItem>
</file>

<file path=customXml/itemProps5.xml><?xml version="1.0" encoding="utf-8"?>
<ds:datastoreItem xmlns:ds="http://schemas.openxmlformats.org/officeDocument/2006/customXml" ds:itemID="{4D5ACE52-75E2-4A81-A1B8-A1B77CFEB51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39</vt:i4>
      </vt:variant>
    </vt:vector>
  </HeadingPairs>
  <TitlesOfParts>
    <vt:vector size="43" baseType="lpstr">
      <vt:lpstr>FORSIDE</vt:lpstr>
      <vt:lpstr>NORSKE TILPASNINGER</vt:lpstr>
      <vt:lpstr>DASHBORD</vt:lpstr>
      <vt:lpstr>HJELPETABELL</vt:lpstr>
      <vt:lpstr>AntArbDager</vt:lpstr>
      <vt:lpstr>cAar</vt:lpstr>
      <vt:lpstr>cAar2</vt:lpstr>
      <vt:lpstr>cAar3</vt:lpstr>
      <vt:lpstr>caHellig</vt:lpstr>
      <vt:lpstr>MenyMalOppsett!caMeny</vt:lpstr>
      <vt:lpstr>MenyMalOppsett!caObjPos</vt:lpstr>
      <vt:lpstr>DASHBORD!cDagerHogg</vt:lpstr>
      <vt:lpstr>DASHBORD!cDagerLass</vt:lpstr>
      <vt:lpstr>MenyMalOppsett!cGyldigDato</vt:lpstr>
      <vt:lpstr>MenyMalOppsett!cGyldigMelding</vt:lpstr>
      <vt:lpstr>MenyMalOppsett!cKolBreddeA</vt:lpstr>
      <vt:lpstr>MenyMalOppsett!cPosHm10Left</vt:lpstr>
      <vt:lpstr>MenyMalOppsett!cPosHm10Top</vt:lpstr>
      <vt:lpstr>MenyMalOppsett!cPosHmLeft</vt:lpstr>
      <vt:lpstr>MenyMalOppsett!cPosHmTop</vt:lpstr>
      <vt:lpstr>MenyMalOppsett!cPosLb10Left</vt:lpstr>
      <vt:lpstr>MenyMalOppsett!cPosLb10Top</vt:lpstr>
      <vt:lpstr>MenyMalOppsett!cPosLbLeft</vt:lpstr>
      <vt:lpstr>MenyMalOppsett!cPosLbTop</vt:lpstr>
      <vt:lpstr>MenyMalOppsett!cRadHøyde</vt:lpstr>
      <vt:lpstr>HJELPETABELL!cRedModus</vt:lpstr>
      <vt:lpstr>MenyMalOppsett!cRedModus</vt:lpstr>
      <vt:lpstr>DASHBORD!cSluttHogg</vt:lpstr>
      <vt:lpstr>DASHBORD!cSluttLass</vt:lpstr>
      <vt:lpstr>MenyMalOppsett!cSplit</vt:lpstr>
      <vt:lpstr>DASHBORD!cStartHogg</vt:lpstr>
      <vt:lpstr>DASHBORD!cStartLass</vt:lpstr>
      <vt:lpstr>DatoTab</vt:lpstr>
      <vt:lpstr>FerdigDato</vt:lpstr>
      <vt:lpstr>Fra</vt:lpstr>
      <vt:lpstr>StartDato</vt:lpstr>
      <vt:lpstr>Til</vt:lpstr>
      <vt:lpstr>DASHBORD!Utskriftsområde</vt:lpstr>
      <vt:lpstr>FORSIDE!Utskriftsområde</vt:lpstr>
      <vt:lpstr>HJELPETABELLER!Utskriftsområde</vt:lpstr>
      <vt:lpstr>'HOGSTMASKIN (G0)'!Utskriftsområde</vt:lpstr>
      <vt:lpstr>'LASSBÆRER (G15)'!Utskriftsområde</vt:lpstr>
      <vt:lpstr>'PROD.NORMER TABELL'!Utskriftsområde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Mikael Fønhus</dc:creator>
  <cp:lastModifiedBy>Mikael Fønhus</cp:lastModifiedBy>
  <cp:lastPrinted>2018-01-08T07:43:17Z</cp:lastPrinted>
  <dcterms:created xsi:type="dcterms:W3CDTF">2016-05-19T10:41:08Z</dcterms:created>
  <dcterms:modified xsi:type="dcterms:W3CDTF">2020-01-27T10:16:42Z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0x0101008EAA03E1F159934AAF9A19F27AFC1CA2</vt:lpwstr>
  </property>
  <property fmtid="{D5CDD505-2E9C-101B-9397-08002B2CF9AE}" pid="3" name="SkogkursDokumenttype">
    <vt:lpwstr>17;#Arbeidsdokument|d3bd8bfb-cd02-4979-a22f-832f746211ac</vt:lpwstr>
  </property>
  <property fmtid="{D5CDD505-2E9C-101B-9397-08002B2CF9AE}" pid="4" name="SkogkursOrganisasjon">
    <vt:lpwstr>6;#Skogkurs|c70ab0b2-6b57-410e-bd8b-9cdd4a188677</vt:lpwstr>
  </property>
  <property fmtid="{D5CDD505-2E9C-101B-9397-08002B2CF9AE}" pid="5" name="SkogkursFaggruppe">
    <vt:lpwstr>25;#Hogst og Skogsdrift|a6e39a63-9d60-43f0-9080-fdd0afc74b9d</vt:lpwstr>
  </property>
  <property fmtid="{D5CDD505-2E9C-101B-9397-08002B2CF9AE}" pid="6" name="AuthorIds_UIVersion_16896">
    <vt:lpwstr>14</vt:lpwstr>
  </property>
</Properties>
</file>